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6182\Desktop\"/>
    </mc:Choice>
  </mc:AlternateContent>
  <xr:revisionPtr revIDLastSave="0" documentId="8_{C95ACCBD-94A5-4CCC-A98B-883AD3C746D1}" xr6:coauthVersionLast="47" xr6:coauthVersionMax="47" xr10:uidLastSave="{00000000-0000-0000-0000-000000000000}"/>
  <bookViews>
    <workbookView xWindow="-120" yWindow="-120" windowWidth="29040" windowHeight="15840" xr2:uid="{192C3F0C-A6B3-4983-83FF-7BCAD15A0727}"/>
  </bookViews>
  <sheets>
    <sheet name="项目规划指标" sheetId="1" r:id="rId1"/>
  </sheets>
  <externalReferences>
    <externalReference r:id="rId2"/>
  </externalReferences>
  <definedNames>
    <definedName name="_xlnm.Print_Area" localSheetId="0">项目规划指标!$A$1:$G$41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2" i="1" l="1"/>
  <c r="F42" i="1"/>
  <c r="F37" i="1"/>
  <c r="F31" i="1"/>
  <c r="G30" i="1"/>
  <c r="F30" i="1"/>
  <c r="G22" i="1"/>
  <c r="F22" i="1"/>
  <c r="I10" i="1"/>
  <c r="I9" i="1"/>
  <c r="H8" i="1"/>
  <c r="I8" i="1" s="1"/>
  <c r="G8" i="1"/>
  <c r="F8" i="1"/>
  <c r="F4" i="1"/>
  <c r="I4" i="1" s="1"/>
  <c r="H3" i="1"/>
  <c r="G3" i="1"/>
  <c r="L4" i="1" s="1"/>
  <c r="F3" i="1"/>
  <c r="I3" i="1" s="1"/>
  <c r="K3" i="1" s="1"/>
  <c r="I37" i="1" l="1"/>
  <c r="O3" i="1"/>
  <c r="P3" i="1" s="1"/>
  <c r="G37" i="1"/>
  <c r="O4" i="1"/>
  <c r="P4" i="1" s="1"/>
</calcChain>
</file>

<file path=xl/sharedStrings.xml><?xml version="1.0" encoding="utf-8"?>
<sst xmlns="http://schemas.openxmlformats.org/spreadsheetml/2006/main" count="107" uniqueCount="62">
  <si>
    <t>项目规划指标表</t>
    <phoneticPr fontId="3" type="noConversion"/>
  </si>
  <si>
    <t>项目</t>
  </si>
  <si>
    <t>计算单位</t>
  </si>
  <si>
    <t>一期</t>
  </si>
  <si>
    <t>二期</t>
  </si>
  <si>
    <t>酒店</t>
    <phoneticPr fontId="3" type="noConversion"/>
  </si>
  <si>
    <t>合计</t>
    <phoneticPr fontId="3" type="noConversion"/>
  </si>
  <si>
    <t>用地面积</t>
    <phoneticPr fontId="3" type="noConversion"/>
  </si>
  <si>
    <t>㎡</t>
  </si>
  <si>
    <t>建筑占地面积</t>
  </si>
  <si>
    <t>㎡</t>
    <phoneticPr fontId="3" type="noConversion"/>
  </si>
  <si>
    <t>建筑密度</t>
  </si>
  <si>
    <t>%</t>
    <phoneticPr fontId="3" type="noConversion"/>
  </si>
  <si>
    <t>绿地率</t>
  </si>
  <si>
    <t>容积率</t>
    <phoneticPr fontId="3" type="noConversion"/>
  </si>
  <si>
    <t>总建筑面积</t>
  </si>
  <si>
    <t>其中</t>
    <phoneticPr fontId="3" type="noConversion"/>
  </si>
  <si>
    <t>地上建筑面积</t>
    <phoneticPr fontId="3" type="noConversion"/>
  </si>
  <si>
    <t>地下建筑面积</t>
    <phoneticPr fontId="3" type="noConversion"/>
  </si>
  <si>
    <t>可租售建筑面积</t>
    <phoneticPr fontId="3" type="noConversion"/>
  </si>
  <si>
    <t>超高层建筑面积（不含底层商业面积）</t>
    <phoneticPr fontId="3" type="noConversion"/>
  </si>
  <si>
    <t>高层建筑面积（不含底层商业面积）</t>
    <phoneticPr fontId="3" type="noConversion"/>
  </si>
  <si>
    <t>小高层建筑面积（不含底层商业面积）</t>
    <phoneticPr fontId="3" type="noConversion"/>
  </si>
  <si>
    <t>多层洋房建筑面积（不含底层商业面积）</t>
    <phoneticPr fontId="3" type="noConversion"/>
  </si>
  <si>
    <t>别墅建筑面积</t>
    <phoneticPr fontId="3" type="noConversion"/>
  </si>
  <si>
    <t>住宅底层商业建筑面积</t>
    <phoneticPr fontId="3" type="noConversion"/>
  </si>
  <si>
    <t>独立商业建筑面积</t>
    <phoneticPr fontId="3" type="noConversion"/>
  </si>
  <si>
    <t>办公建筑面积</t>
    <phoneticPr fontId="3" type="noConversion"/>
  </si>
  <si>
    <t>SOHO公寓建筑面积</t>
    <phoneticPr fontId="3" type="noConversion"/>
  </si>
  <si>
    <t>酒店建筑面积</t>
    <phoneticPr fontId="3" type="noConversion"/>
  </si>
  <si>
    <t>……</t>
    <phoneticPr fontId="3" type="noConversion"/>
  </si>
  <si>
    <t>非可租售建筑面积</t>
    <phoneticPr fontId="3" type="noConversion"/>
  </si>
  <si>
    <t>物管用房</t>
    <phoneticPr fontId="3" type="noConversion"/>
  </si>
  <si>
    <t>邮递和快递送达设施</t>
    <phoneticPr fontId="3" type="noConversion"/>
  </si>
  <si>
    <t>-</t>
    <phoneticPr fontId="3" type="noConversion"/>
  </si>
  <si>
    <t>门卫</t>
    <phoneticPr fontId="3" type="noConversion"/>
  </si>
  <si>
    <t>地下室出地面楼梯</t>
    <phoneticPr fontId="3" type="noConversion"/>
  </si>
  <si>
    <t>消防控制室兼监控室</t>
    <phoneticPr fontId="3" type="noConversion"/>
  </si>
  <si>
    <t>配电室</t>
    <phoneticPr fontId="3" type="noConversion"/>
  </si>
  <si>
    <t>其他</t>
    <phoneticPr fontId="3" type="noConversion"/>
  </si>
  <si>
    <t>非人防地下车库</t>
  </si>
  <si>
    <t>人防地下车库</t>
  </si>
  <si>
    <t>住宅总套数</t>
  </si>
  <si>
    <t>套</t>
  </si>
  <si>
    <t>其中</t>
  </si>
  <si>
    <t>≤90平方米的套数、建筑面积、所占比例</t>
  </si>
  <si>
    <t>套/㎡/%</t>
    <phoneticPr fontId="3" type="noConversion"/>
  </si>
  <si>
    <t>面积范围等可根据项目情况调整，在此为举例</t>
    <phoneticPr fontId="3" type="noConversion"/>
  </si>
  <si>
    <t>90-144平方米的套数、建筑面积、所占比例</t>
  </si>
  <si>
    <t>≥144平方米的套数、建筑面积、所占比例</t>
  </si>
  <si>
    <t>总绿地面积</t>
  </si>
  <si>
    <t>地面绿地面积</t>
  </si>
  <si>
    <t>地下室顶板绿地面积</t>
  </si>
  <si>
    <t>屋顶绿地面积</t>
  </si>
  <si>
    <t>机动车停车位</t>
  </si>
  <si>
    <t>个</t>
  </si>
  <si>
    <t>地下停车位</t>
    <phoneticPr fontId="3" type="noConversion"/>
  </si>
  <si>
    <t>个</t>
    <phoneticPr fontId="3" type="noConversion"/>
  </si>
  <si>
    <t>地面停车位</t>
    <phoneticPr fontId="3" type="noConversion"/>
  </si>
  <si>
    <t xml:space="preserve">   </t>
    <phoneticPr fontId="3" type="noConversion"/>
  </si>
  <si>
    <t>非费机动车停车位</t>
    <phoneticPr fontId="3" type="noConversion"/>
  </si>
  <si>
    <t xml:space="preserve">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</si>
</sst>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76" formatCode="0.00_);[Red]\(0.00\)"/>
    <numFmt numFmtId="177" formatCode="0.00_ "/>
    <numFmt numFmtId="178" formatCode="0.000_ "/>
    <numFmt numFmtId="179" formatCode="0.0%"/>
    <numFmt numFmtId="180" formatCode="0_ "/>
  </numFmts>
  <fonts count="10" x14ac:knownFonts="1">
    <font>
      <sz val="12"/>
      <name val="宋体"/>
      <family val="3"/>
      <charset val="134"/>
    </font>
    <font>
      <sz val="12"/>
      <name val="宋体"/>
      <family val="3"/>
      <charset val="134"/>
    </font>
    <font>
      <b/>
      <sz val="16"/>
      <color indexed="8"/>
      <name val="微软雅黑"/>
      <family val="2"/>
      <charset val="134"/>
    </font>
    <font>
      <sz val="9"/>
      <name val="宋体"/>
      <family val="3"/>
      <charset val="134"/>
    </font>
    <font>
      <sz val="12"/>
      <color indexed="8"/>
      <name val="微软雅黑"/>
      <family val="2"/>
      <charset val="134"/>
    </font>
    <font>
      <b/>
      <sz val="12"/>
      <color indexed="8"/>
      <name val="微软雅黑"/>
      <family val="2"/>
      <charset val="134"/>
    </font>
    <font>
      <sz val="12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2"/>
      <color rgb="FFFF0000"/>
      <name val="微软雅黑"/>
      <family val="2"/>
      <charset val="134"/>
    </font>
    <font>
      <b/>
      <sz val="12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76" fontId="4" fillId="0" borderId="7" xfId="0" applyNumberFormat="1" applyFont="1" applyBorder="1" applyAlignment="1">
      <alignment horizontal="center" vertical="center"/>
    </xf>
    <xf numFmtId="176" fontId="4" fillId="0" borderId="8" xfId="0" applyNumberFormat="1" applyFont="1" applyBorder="1" applyAlignment="1">
      <alignment horizontal="center" vertical="center"/>
    </xf>
    <xf numFmtId="176" fontId="6" fillId="0" borderId="9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177" fontId="4" fillId="0" borderId="7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76" fontId="0" fillId="0" borderId="0" xfId="0" applyNumberFormat="1" applyAlignment="1">
      <alignment vertical="center"/>
    </xf>
    <xf numFmtId="10" fontId="4" fillId="0" borderId="7" xfId="1" applyNumberFormat="1" applyFont="1" applyBorder="1" applyAlignment="1">
      <alignment horizontal="center" vertical="center"/>
    </xf>
    <xf numFmtId="10" fontId="4" fillId="0" borderId="8" xfId="1" applyNumberFormat="1" applyFont="1" applyBorder="1" applyAlignment="1">
      <alignment horizontal="center" vertical="center"/>
    </xf>
    <xf numFmtId="178" fontId="6" fillId="0" borderId="9" xfId="0" applyNumberFormat="1" applyFont="1" applyBorder="1" applyAlignment="1">
      <alignment horizontal="center" vertical="center" wrapText="1"/>
    </xf>
    <xf numFmtId="179" fontId="4" fillId="0" borderId="8" xfId="1" applyNumberFormat="1" applyFont="1" applyBorder="1" applyAlignment="1">
      <alignment horizontal="center" vertical="center"/>
    </xf>
    <xf numFmtId="178" fontId="4" fillId="0" borderId="7" xfId="0" applyNumberFormat="1" applyFont="1" applyBorder="1" applyAlignment="1">
      <alignment horizontal="center" vertical="center"/>
    </xf>
    <xf numFmtId="178" fontId="4" fillId="0" borderId="8" xfId="0" applyNumberFormat="1" applyFont="1" applyBorder="1" applyAlignment="1">
      <alignment horizontal="center" vertical="center"/>
    </xf>
    <xf numFmtId="177" fontId="4" fillId="0" borderId="8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center" wrapText="1"/>
    </xf>
    <xf numFmtId="177" fontId="4" fillId="0" borderId="7" xfId="0" applyNumberFormat="1" applyFont="1" applyBorder="1" applyAlignment="1">
      <alignment horizontal="center" vertical="center" wrapText="1"/>
    </xf>
    <xf numFmtId="177" fontId="6" fillId="0" borderId="7" xfId="0" applyNumberFormat="1" applyFont="1" applyBorder="1" applyAlignment="1">
      <alignment horizontal="center" vertical="center" wrapText="1"/>
    </xf>
    <xf numFmtId="177" fontId="6" fillId="0" borderId="7" xfId="0" applyNumberFormat="1" applyFont="1" applyBorder="1" applyAlignment="1">
      <alignment horizontal="center" vertical="center"/>
    </xf>
    <xf numFmtId="177" fontId="8" fillId="0" borderId="8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77" fontId="8" fillId="0" borderId="7" xfId="0" applyNumberFormat="1" applyFont="1" applyBorder="1" applyAlignment="1">
      <alignment horizontal="center" vertical="center" wrapText="1"/>
    </xf>
    <xf numFmtId="177" fontId="8" fillId="0" borderId="7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177" fontId="7" fillId="0" borderId="7" xfId="0" applyNumberFormat="1" applyFont="1" applyBorder="1" applyAlignment="1">
      <alignment horizontal="center" vertical="center" wrapText="1"/>
    </xf>
    <xf numFmtId="180" fontId="4" fillId="0" borderId="7" xfId="0" applyNumberFormat="1" applyFont="1" applyBorder="1" applyAlignment="1">
      <alignment horizontal="center" vertical="center"/>
    </xf>
    <xf numFmtId="180" fontId="4" fillId="0" borderId="8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 wrapText="1"/>
    </xf>
    <xf numFmtId="178" fontId="6" fillId="0" borderId="13" xfId="0" applyNumberFormat="1" applyFont="1" applyBorder="1" applyAlignment="1">
      <alignment horizontal="center" vertical="center" wrapText="1"/>
    </xf>
    <xf numFmtId="178" fontId="6" fillId="0" borderId="14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43" fontId="7" fillId="0" borderId="8" xfId="0" applyNumberFormat="1" applyFont="1" applyBorder="1" applyAlignment="1">
      <alignment horizontal="center" vertical="center"/>
    </xf>
    <xf numFmtId="43" fontId="7" fillId="0" borderId="7" xfId="0" applyNumberFormat="1" applyFont="1" applyBorder="1" applyAlignment="1">
      <alignment horizontal="center" vertical="center"/>
    </xf>
    <xf numFmtId="178" fontId="1" fillId="0" borderId="9" xfId="0" applyNumberFormat="1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43" fontId="7" fillId="0" borderId="16" xfId="0" applyNumberFormat="1" applyFont="1" applyBorder="1" applyAlignment="1">
      <alignment horizontal="center" vertical="center"/>
    </xf>
    <xf numFmtId="43" fontId="7" fillId="0" borderId="17" xfId="0" applyNumberFormat="1" applyFont="1" applyBorder="1" applyAlignment="1">
      <alignment horizontal="center" vertical="center"/>
    </xf>
    <xf numFmtId="178" fontId="1" fillId="0" borderId="18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178" fontId="0" fillId="0" borderId="0" xfId="0" applyNumberFormat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&#37329;&#26124;&#37329;&#30805;\&#30446;&#26631;&#25104;&#26412;\&#30446;&#26631;&#25104;&#26412;&#31649;&#29702;\&#38468;&#20214;&#20108;&#65306;&#30446;&#26631;&#25104;&#26412;&#20307;&#31995;&#27979;&#31639;&#34920;.xls" TargetMode="External"/><Relationship Id="rId1" Type="http://schemas.openxmlformats.org/officeDocument/2006/relationships/externalLinkPath" Target="file:///E:\&#37329;&#26124;&#37329;&#30805;\&#30446;&#26631;&#25104;&#26412;\&#30446;&#26631;&#25104;&#26412;&#31649;&#29702;\&#38468;&#20214;&#20108;&#65306;&#30446;&#26631;&#25104;&#26412;&#20307;&#31995;&#27979;&#31639;&#3492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cro1"/>
      <sheetName val="封面"/>
      <sheetName val="目录"/>
      <sheetName val="填表说明"/>
      <sheetName val="项目规划指标"/>
      <sheetName val="项目分期工程概况表"/>
      <sheetName val="建造标准 "/>
      <sheetName val="项目审批表"/>
      <sheetName val="项目总投资汇总表"/>
      <sheetName val="目标成本科目明细表"/>
      <sheetName val="损益表"/>
      <sheetName val="销售收入"/>
      <sheetName val="管理费-"/>
      <sheetName val="财务费用"/>
      <sheetName val="工程支出"/>
      <sheetName val="营销费用"/>
      <sheetName val="管理费用"/>
      <sheetName val="税费计算明细表"/>
      <sheetName val="土地价款一览表"/>
      <sheetName val="土增测算表 (2)"/>
      <sheetName val="土增测算表"/>
      <sheetName val="融资计划"/>
      <sheetName val="现金流量表"/>
      <sheetName val="大型商业项目开发节点"/>
      <sheetName val="毛坯住宅开发节点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">
          <cell r="C4">
            <v>5.1240920000000001</v>
          </cell>
        </row>
        <row r="5">
          <cell r="C5">
            <v>3.7225809999999999</v>
          </cell>
        </row>
        <row r="8">
          <cell r="C8">
            <v>3.624647</v>
          </cell>
        </row>
      </sheetData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30E6B-0782-452D-9BAC-3B8538D99BA8}">
  <sheetPr>
    <tabColor rgb="FFFFFF00"/>
    <pageSetUpPr fitToPage="1"/>
  </sheetPr>
  <dimension ref="A1:P46"/>
  <sheetViews>
    <sheetView tabSelected="1" zoomScale="85" workbookViewId="0">
      <selection activeCell="G45" sqref="G45"/>
    </sheetView>
  </sheetViews>
  <sheetFormatPr defaultRowHeight="14.25" x14ac:dyDescent="0.15"/>
  <cols>
    <col min="1" max="1" width="4.625" style="3" customWidth="1"/>
    <col min="2" max="2" width="4.875" style="3" customWidth="1"/>
    <col min="3" max="3" width="9.5" style="63" customWidth="1"/>
    <col min="4" max="4" width="28.75" style="3" customWidth="1"/>
    <col min="5" max="5" width="9.875" style="3" customWidth="1"/>
    <col min="6" max="6" width="16" style="10" customWidth="1"/>
    <col min="7" max="8" width="17.375" style="10" customWidth="1"/>
    <col min="9" max="9" width="16.375" style="64" customWidth="1"/>
    <col min="10" max="10" width="9" style="3"/>
    <col min="11" max="12" width="11.625" style="3" customWidth="1"/>
    <col min="13" max="256" width="9" style="3"/>
    <col min="257" max="257" width="4.625" style="3" customWidth="1"/>
    <col min="258" max="258" width="4.875" style="3" customWidth="1"/>
    <col min="259" max="259" width="9.5" style="3" customWidth="1"/>
    <col min="260" max="260" width="28.75" style="3" customWidth="1"/>
    <col min="261" max="261" width="9.875" style="3" customWidth="1"/>
    <col min="262" max="262" width="16" style="3" customWidth="1"/>
    <col min="263" max="264" width="17.375" style="3" customWidth="1"/>
    <col min="265" max="265" width="16.375" style="3" customWidth="1"/>
    <col min="266" max="266" width="9" style="3"/>
    <col min="267" max="268" width="11.625" style="3" customWidth="1"/>
    <col min="269" max="512" width="9" style="3"/>
    <col min="513" max="513" width="4.625" style="3" customWidth="1"/>
    <col min="514" max="514" width="4.875" style="3" customWidth="1"/>
    <col min="515" max="515" width="9.5" style="3" customWidth="1"/>
    <col min="516" max="516" width="28.75" style="3" customWidth="1"/>
    <col min="517" max="517" width="9.875" style="3" customWidth="1"/>
    <col min="518" max="518" width="16" style="3" customWidth="1"/>
    <col min="519" max="520" width="17.375" style="3" customWidth="1"/>
    <col min="521" max="521" width="16.375" style="3" customWidth="1"/>
    <col min="522" max="522" width="9" style="3"/>
    <col min="523" max="524" width="11.625" style="3" customWidth="1"/>
    <col min="525" max="768" width="9" style="3"/>
    <col min="769" max="769" width="4.625" style="3" customWidth="1"/>
    <col min="770" max="770" width="4.875" style="3" customWidth="1"/>
    <col min="771" max="771" width="9.5" style="3" customWidth="1"/>
    <col min="772" max="772" width="28.75" style="3" customWidth="1"/>
    <col min="773" max="773" width="9.875" style="3" customWidth="1"/>
    <col min="774" max="774" width="16" style="3" customWidth="1"/>
    <col min="775" max="776" width="17.375" style="3" customWidth="1"/>
    <col min="777" max="777" width="16.375" style="3" customWidth="1"/>
    <col min="778" max="778" width="9" style="3"/>
    <col min="779" max="780" width="11.625" style="3" customWidth="1"/>
    <col min="781" max="1024" width="9" style="3"/>
    <col min="1025" max="1025" width="4.625" style="3" customWidth="1"/>
    <col min="1026" max="1026" width="4.875" style="3" customWidth="1"/>
    <col min="1027" max="1027" width="9.5" style="3" customWidth="1"/>
    <col min="1028" max="1028" width="28.75" style="3" customWidth="1"/>
    <col min="1029" max="1029" width="9.875" style="3" customWidth="1"/>
    <col min="1030" max="1030" width="16" style="3" customWidth="1"/>
    <col min="1031" max="1032" width="17.375" style="3" customWidth="1"/>
    <col min="1033" max="1033" width="16.375" style="3" customWidth="1"/>
    <col min="1034" max="1034" width="9" style="3"/>
    <col min="1035" max="1036" width="11.625" style="3" customWidth="1"/>
    <col min="1037" max="1280" width="9" style="3"/>
    <col min="1281" max="1281" width="4.625" style="3" customWidth="1"/>
    <col min="1282" max="1282" width="4.875" style="3" customWidth="1"/>
    <col min="1283" max="1283" width="9.5" style="3" customWidth="1"/>
    <col min="1284" max="1284" width="28.75" style="3" customWidth="1"/>
    <col min="1285" max="1285" width="9.875" style="3" customWidth="1"/>
    <col min="1286" max="1286" width="16" style="3" customWidth="1"/>
    <col min="1287" max="1288" width="17.375" style="3" customWidth="1"/>
    <col min="1289" max="1289" width="16.375" style="3" customWidth="1"/>
    <col min="1290" max="1290" width="9" style="3"/>
    <col min="1291" max="1292" width="11.625" style="3" customWidth="1"/>
    <col min="1293" max="1536" width="9" style="3"/>
    <col min="1537" max="1537" width="4.625" style="3" customWidth="1"/>
    <col min="1538" max="1538" width="4.875" style="3" customWidth="1"/>
    <col min="1539" max="1539" width="9.5" style="3" customWidth="1"/>
    <col min="1540" max="1540" width="28.75" style="3" customWidth="1"/>
    <col min="1541" max="1541" width="9.875" style="3" customWidth="1"/>
    <col min="1542" max="1542" width="16" style="3" customWidth="1"/>
    <col min="1543" max="1544" width="17.375" style="3" customWidth="1"/>
    <col min="1545" max="1545" width="16.375" style="3" customWidth="1"/>
    <col min="1546" max="1546" width="9" style="3"/>
    <col min="1547" max="1548" width="11.625" style="3" customWidth="1"/>
    <col min="1549" max="1792" width="9" style="3"/>
    <col min="1793" max="1793" width="4.625" style="3" customWidth="1"/>
    <col min="1794" max="1794" width="4.875" style="3" customWidth="1"/>
    <col min="1795" max="1795" width="9.5" style="3" customWidth="1"/>
    <col min="1796" max="1796" width="28.75" style="3" customWidth="1"/>
    <col min="1797" max="1797" width="9.875" style="3" customWidth="1"/>
    <col min="1798" max="1798" width="16" style="3" customWidth="1"/>
    <col min="1799" max="1800" width="17.375" style="3" customWidth="1"/>
    <col min="1801" max="1801" width="16.375" style="3" customWidth="1"/>
    <col min="1802" max="1802" width="9" style="3"/>
    <col min="1803" max="1804" width="11.625" style="3" customWidth="1"/>
    <col min="1805" max="2048" width="9" style="3"/>
    <col min="2049" max="2049" width="4.625" style="3" customWidth="1"/>
    <col min="2050" max="2050" width="4.875" style="3" customWidth="1"/>
    <col min="2051" max="2051" width="9.5" style="3" customWidth="1"/>
    <col min="2052" max="2052" width="28.75" style="3" customWidth="1"/>
    <col min="2053" max="2053" width="9.875" style="3" customWidth="1"/>
    <col min="2054" max="2054" width="16" style="3" customWidth="1"/>
    <col min="2055" max="2056" width="17.375" style="3" customWidth="1"/>
    <col min="2057" max="2057" width="16.375" style="3" customWidth="1"/>
    <col min="2058" max="2058" width="9" style="3"/>
    <col min="2059" max="2060" width="11.625" style="3" customWidth="1"/>
    <col min="2061" max="2304" width="9" style="3"/>
    <col min="2305" max="2305" width="4.625" style="3" customWidth="1"/>
    <col min="2306" max="2306" width="4.875" style="3" customWidth="1"/>
    <col min="2307" max="2307" width="9.5" style="3" customWidth="1"/>
    <col min="2308" max="2308" width="28.75" style="3" customWidth="1"/>
    <col min="2309" max="2309" width="9.875" style="3" customWidth="1"/>
    <col min="2310" max="2310" width="16" style="3" customWidth="1"/>
    <col min="2311" max="2312" width="17.375" style="3" customWidth="1"/>
    <col min="2313" max="2313" width="16.375" style="3" customWidth="1"/>
    <col min="2314" max="2314" width="9" style="3"/>
    <col min="2315" max="2316" width="11.625" style="3" customWidth="1"/>
    <col min="2317" max="2560" width="9" style="3"/>
    <col min="2561" max="2561" width="4.625" style="3" customWidth="1"/>
    <col min="2562" max="2562" width="4.875" style="3" customWidth="1"/>
    <col min="2563" max="2563" width="9.5" style="3" customWidth="1"/>
    <col min="2564" max="2564" width="28.75" style="3" customWidth="1"/>
    <col min="2565" max="2565" width="9.875" style="3" customWidth="1"/>
    <col min="2566" max="2566" width="16" style="3" customWidth="1"/>
    <col min="2567" max="2568" width="17.375" style="3" customWidth="1"/>
    <col min="2569" max="2569" width="16.375" style="3" customWidth="1"/>
    <col min="2570" max="2570" width="9" style="3"/>
    <col min="2571" max="2572" width="11.625" style="3" customWidth="1"/>
    <col min="2573" max="2816" width="9" style="3"/>
    <col min="2817" max="2817" width="4.625" style="3" customWidth="1"/>
    <col min="2818" max="2818" width="4.875" style="3" customWidth="1"/>
    <col min="2819" max="2819" width="9.5" style="3" customWidth="1"/>
    <col min="2820" max="2820" width="28.75" style="3" customWidth="1"/>
    <col min="2821" max="2821" width="9.875" style="3" customWidth="1"/>
    <col min="2822" max="2822" width="16" style="3" customWidth="1"/>
    <col min="2823" max="2824" width="17.375" style="3" customWidth="1"/>
    <col min="2825" max="2825" width="16.375" style="3" customWidth="1"/>
    <col min="2826" max="2826" width="9" style="3"/>
    <col min="2827" max="2828" width="11.625" style="3" customWidth="1"/>
    <col min="2829" max="3072" width="9" style="3"/>
    <col min="3073" max="3073" width="4.625" style="3" customWidth="1"/>
    <col min="3074" max="3074" width="4.875" style="3" customWidth="1"/>
    <col min="3075" max="3075" width="9.5" style="3" customWidth="1"/>
    <col min="3076" max="3076" width="28.75" style="3" customWidth="1"/>
    <col min="3077" max="3077" width="9.875" style="3" customWidth="1"/>
    <col min="3078" max="3078" width="16" style="3" customWidth="1"/>
    <col min="3079" max="3080" width="17.375" style="3" customWidth="1"/>
    <col min="3081" max="3081" width="16.375" style="3" customWidth="1"/>
    <col min="3082" max="3082" width="9" style="3"/>
    <col min="3083" max="3084" width="11.625" style="3" customWidth="1"/>
    <col min="3085" max="3328" width="9" style="3"/>
    <col min="3329" max="3329" width="4.625" style="3" customWidth="1"/>
    <col min="3330" max="3330" width="4.875" style="3" customWidth="1"/>
    <col min="3331" max="3331" width="9.5" style="3" customWidth="1"/>
    <col min="3332" max="3332" width="28.75" style="3" customWidth="1"/>
    <col min="3333" max="3333" width="9.875" style="3" customWidth="1"/>
    <col min="3334" max="3334" width="16" style="3" customWidth="1"/>
    <col min="3335" max="3336" width="17.375" style="3" customWidth="1"/>
    <col min="3337" max="3337" width="16.375" style="3" customWidth="1"/>
    <col min="3338" max="3338" width="9" style="3"/>
    <col min="3339" max="3340" width="11.625" style="3" customWidth="1"/>
    <col min="3341" max="3584" width="9" style="3"/>
    <col min="3585" max="3585" width="4.625" style="3" customWidth="1"/>
    <col min="3586" max="3586" width="4.875" style="3" customWidth="1"/>
    <col min="3587" max="3587" width="9.5" style="3" customWidth="1"/>
    <col min="3588" max="3588" width="28.75" style="3" customWidth="1"/>
    <col min="3589" max="3589" width="9.875" style="3" customWidth="1"/>
    <col min="3590" max="3590" width="16" style="3" customWidth="1"/>
    <col min="3591" max="3592" width="17.375" style="3" customWidth="1"/>
    <col min="3593" max="3593" width="16.375" style="3" customWidth="1"/>
    <col min="3594" max="3594" width="9" style="3"/>
    <col min="3595" max="3596" width="11.625" style="3" customWidth="1"/>
    <col min="3597" max="3840" width="9" style="3"/>
    <col min="3841" max="3841" width="4.625" style="3" customWidth="1"/>
    <col min="3842" max="3842" width="4.875" style="3" customWidth="1"/>
    <col min="3843" max="3843" width="9.5" style="3" customWidth="1"/>
    <col min="3844" max="3844" width="28.75" style="3" customWidth="1"/>
    <col min="3845" max="3845" width="9.875" style="3" customWidth="1"/>
    <col min="3846" max="3846" width="16" style="3" customWidth="1"/>
    <col min="3847" max="3848" width="17.375" style="3" customWidth="1"/>
    <col min="3849" max="3849" width="16.375" style="3" customWidth="1"/>
    <col min="3850" max="3850" width="9" style="3"/>
    <col min="3851" max="3852" width="11.625" style="3" customWidth="1"/>
    <col min="3853" max="4096" width="9" style="3"/>
    <col min="4097" max="4097" width="4.625" style="3" customWidth="1"/>
    <col min="4098" max="4098" width="4.875" style="3" customWidth="1"/>
    <col min="4099" max="4099" width="9.5" style="3" customWidth="1"/>
    <col min="4100" max="4100" width="28.75" style="3" customWidth="1"/>
    <col min="4101" max="4101" width="9.875" style="3" customWidth="1"/>
    <col min="4102" max="4102" width="16" style="3" customWidth="1"/>
    <col min="4103" max="4104" width="17.375" style="3" customWidth="1"/>
    <col min="4105" max="4105" width="16.375" style="3" customWidth="1"/>
    <col min="4106" max="4106" width="9" style="3"/>
    <col min="4107" max="4108" width="11.625" style="3" customWidth="1"/>
    <col min="4109" max="4352" width="9" style="3"/>
    <col min="4353" max="4353" width="4.625" style="3" customWidth="1"/>
    <col min="4354" max="4354" width="4.875" style="3" customWidth="1"/>
    <col min="4355" max="4355" width="9.5" style="3" customWidth="1"/>
    <col min="4356" max="4356" width="28.75" style="3" customWidth="1"/>
    <col min="4357" max="4357" width="9.875" style="3" customWidth="1"/>
    <col min="4358" max="4358" width="16" style="3" customWidth="1"/>
    <col min="4359" max="4360" width="17.375" style="3" customWidth="1"/>
    <col min="4361" max="4361" width="16.375" style="3" customWidth="1"/>
    <col min="4362" max="4362" width="9" style="3"/>
    <col min="4363" max="4364" width="11.625" style="3" customWidth="1"/>
    <col min="4365" max="4608" width="9" style="3"/>
    <col min="4609" max="4609" width="4.625" style="3" customWidth="1"/>
    <col min="4610" max="4610" width="4.875" style="3" customWidth="1"/>
    <col min="4611" max="4611" width="9.5" style="3" customWidth="1"/>
    <col min="4612" max="4612" width="28.75" style="3" customWidth="1"/>
    <col min="4613" max="4613" width="9.875" style="3" customWidth="1"/>
    <col min="4614" max="4614" width="16" style="3" customWidth="1"/>
    <col min="4615" max="4616" width="17.375" style="3" customWidth="1"/>
    <col min="4617" max="4617" width="16.375" style="3" customWidth="1"/>
    <col min="4618" max="4618" width="9" style="3"/>
    <col min="4619" max="4620" width="11.625" style="3" customWidth="1"/>
    <col min="4621" max="4864" width="9" style="3"/>
    <col min="4865" max="4865" width="4.625" style="3" customWidth="1"/>
    <col min="4866" max="4866" width="4.875" style="3" customWidth="1"/>
    <col min="4867" max="4867" width="9.5" style="3" customWidth="1"/>
    <col min="4868" max="4868" width="28.75" style="3" customWidth="1"/>
    <col min="4869" max="4869" width="9.875" style="3" customWidth="1"/>
    <col min="4870" max="4870" width="16" style="3" customWidth="1"/>
    <col min="4871" max="4872" width="17.375" style="3" customWidth="1"/>
    <col min="4873" max="4873" width="16.375" style="3" customWidth="1"/>
    <col min="4874" max="4874" width="9" style="3"/>
    <col min="4875" max="4876" width="11.625" style="3" customWidth="1"/>
    <col min="4877" max="5120" width="9" style="3"/>
    <col min="5121" max="5121" width="4.625" style="3" customWidth="1"/>
    <col min="5122" max="5122" width="4.875" style="3" customWidth="1"/>
    <col min="5123" max="5123" width="9.5" style="3" customWidth="1"/>
    <col min="5124" max="5124" width="28.75" style="3" customWidth="1"/>
    <col min="5125" max="5125" width="9.875" style="3" customWidth="1"/>
    <col min="5126" max="5126" width="16" style="3" customWidth="1"/>
    <col min="5127" max="5128" width="17.375" style="3" customWidth="1"/>
    <col min="5129" max="5129" width="16.375" style="3" customWidth="1"/>
    <col min="5130" max="5130" width="9" style="3"/>
    <col min="5131" max="5132" width="11.625" style="3" customWidth="1"/>
    <col min="5133" max="5376" width="9" style="3"/>
    <col min="5377" max="5377" width="4.625" style="3" customWidth="1"/>
    <col min="5378" max="5378" width="4.875" style="3" customWidth="1"/>
    <col min="5379" max="5379" width="9.5" style="3" customWidth="1"/>
    <col min="5380" max="5380" width="28.75" style="3" customWidth="1"/>
    <col min="5381" max="5381" width="9.875" style="3" customWidth="1"/>
    <col min="5382" max="5382" width="16" style="3" customWidth="1"/>
    <col min="5383" max="5384" width="17.375" style="3" customWidth="1"/>
    <col min="5385" max="5385" width="16.375" style="3" customWidth="1"/>
    <col min="5386" max="5386" width="9" style="3"/>
    <col min="5387" max="5388" width="11.625" style="3" customWidth="1"/>
    <col min="5389" max="5632" width="9" style="3"/>
    <col min="5633" max="5633" width="4.625" style="3" customWidth="1"/>
    <col min="5634" max="5634" width="4.875" style="3" customWidth="1"/>
    <col min="5635" max="5635" width="9.5" style="3" customWidth="1"/>
    <col min="5636" max="5636" width="28.75" style="3" customWidth="1"/>
    <col min="5637" max="5637" width="9.875" style="3" customWidth="1"/>
    <col min="5638" max="5638" width="16" style="3" customWidth="1"/>
    <col min="5639" max="5640" width="17.375" style="3" customWidth="1"/>
    <col min="5641" max="5641" width="16.375" style="3" customWidth="1"/>
    <col min="5642" max="5642" width="9" style="3"/>
    <col min="5643" max="5644" width="11.625" style="3" customWidth="1"/>
    <col min="5645" max="5888" width="9" style="3"/>
    <col min="5889" max="5889" width="4.625" style="3" customWidth="1"/>
    <col min="5890" max="5890" width="4.875" style="3" customWidth="1"/>
    <col min="5891" max="5891" width="9.5" style="3" customWidth="1"/>
    <col min="5892" max="5892" width="28.75" style="3" customWidth="1"/>
    <col min="5893" max="5893" width="9.875" style="3" customWidth="1"/>
    <col min="5894" max="5894" width="16" style="3" customWidth="1"/>
    <col min="5895" max="5896" width="17.375" style="3" customWidth="1"/>
    <col min="5897" max="5897" width="16.375" style="3" customWidth="1"/>
    <col min="5898" max="5898" width="9" style="3"/>
    <col min="5899" max="5900" width="11.625" style="3" customWidth="1"/>
    <col min="5901" max="6144" width="9" style="3"/>
    <col min="6145" max="6145" width="4.625" style="3" customWidth="1"/>
    <col min="6146" max="6146" width="4.875" style="3" customWidth="1"/>
    <col min="6147" max="6147" width="9.5" style="3" customWidth="1"/>
    <col min="6148" max="6148" width="28.75" style="3" customWidth="1"/>
    <col min="6149" max="6149" width="9.875" style="3" customWidth="1"/>
    <col min="6150" max="6150" width="16" style="3" customWidth="1"/>
    <col min="6151" max="6152" width="17.375" style="3" customWidth="1"/>
    <col min="6153" max="6153" width="16.375" style="3" customWidth="1"/>
    <col min="6154" max="6154" width="9" style="3"/>
    <col min="6155" max="6156" width="11.625" style="3" customWidth="1"/>
    <col min="6157" max="6400" width="9" style="3"/>
    <col min="6401" max="6401" width="4.625" style="3" customWidth="1"/>
    <col min="6402" max="6402" width="4.875" style="3" customWidth="1"/>
    <col min="6403" max="6403" width="9.5" style="3" customWidth="1"/>
    <col min="6404" max="6404" width="28.75" style="3" customWidth="1"/>
    <col min="6405" max="6405" width="9.875" style="3" customWidth="1"/>
    <col min="6406" max="6406" width="16" style="3" customWidth="1"/>
    <col min="6407" max="6408" width="17.375" style="3" customWidth="1"/>
    <col min="6409" max="6409" width="16.375" style="3" customWidth="1"/>
    <col min="6410" max="6410" width="9" style="3"/>
    <col min="6411" max="6412" width="11.625" style="3" customWidth="1"/>
    <col min="6413" max="6656" width="9" style="3"/>
    <col min="6657" max="6657" width="4.625" style="3" customWidth="1"/>
    <col min="6658" max="6658" width="4.875" style="3" customWidth="1"/>
    <col min="6659" max="6659" width="9.5" style="3" customWidth="1"/>
    <col min="6660" max="6660" width="28.75" style="3" customWidth="1"/>
    <col min="6661" max="6661" width="9.875" style="3" customWidth="1"/>
    <col min="6662" max="6662" width="16" style="3" customWidth="1"/>
    <col min="6663" max="6664" width="17.375" style="3" customWidth="1"/>
    <col min="6665" max="6665" width="16.375" style="3" customWidth="1"/>
    <col min="6666" max="6666" width="9" style="3"/>
    <col min="6667" max="6668" width="11.625" style="3" customWidth="1"/>
    <col min="6669" max="6912" width="9" style="3"/>
    <col min="6913" max="6913" width="4.625" style="3" customWidth="1"/>
    <col min="6914" max="6914" width="4.875" style="3" customWidth="1"/>
    <col min="6915" max="6915" width="9.5" style="3" customWidth="1"/>
    <col min="6916" max="6916" width="28.75" style="3" customWidth="1"/>
    <col min="6917" max="6917" width="9.875" style="3" customWidth="1"/>
    <col min="6918" max="6918" width="16" style="3" customWidth="1"/>
    <col min="6919" max="6920" width="17.375" style="3" customWidth="1"/>
    <col min="6921" max="6921" width="16.375" style="3" customWidth="1"/>
    <col min="6922" max="6922" width="9" style="3"/>
    <col min="6923" max="6924" width="11.625" style="3" customWidth="1"/>
    <col min="6925" max="7168" width="9" style="3"/>
    <col min="7169" max="7169" width="4.625" style="3" customWidth="1"/>
    <col min="7170" max="7170" width="4.875" style="3" customWidth="1"/>
    <col min="7171" max="7171" width="9.5" style="3" customWidth="1"/>
    <col min="7172" max="7172" width="28.75" style="3" customWidth="1"/>
    <col min="7173" max="7173" width="9.875" style="3" customWidth="1"/>
    <col min="7174" max="7174" width="16" style="3" customWidth="1"/>
    <col min="7175" max="7176" width="17.375" style="3" customWidth="1"/>
    <col min="7177" max="7177" width="16.375" style="3" customWidth="1"/>
    <col min="7178" max="7178" width="9" style="3"/>
    <col min="7179" max="7180" width="11.625" style="3" customWidth="1"/>
    <col min="7181" max="7424" width="9" style="3"/>
    <col min="7425" max="7425" width="4.625" style="3" customWidth="1"/>
    <col min="7426" max="7426" width="4.875" style="3" customWidth="1"/>
    <col min="7427" max="7427" width="9.5" style="3" customWidth="1"/>
    <col min="7428" max="7428" width="28.75" style="3" customWidth="1"/>
    <col min="7429" max="7429" width="9.875" style="3" customWidth="1"/>
    <col min="7430" max="7430" width="16" style="3" customWidth="1"/>
    <col min="7431" max="7432" width="17.375" style="3" customWidth="1"/>
    <col min="7433" max="7433" width="16.375" style="3" customWidth="1"/>
    <col min="7434" max="7434" width="9" style="3"/>
    <col min="7435" max="7436" width="11.625" style="3" customWidth="1"/>
    <col min="7437" max="7680" width="9" style="3"/>
    <col min="7681" max="7681" width="4.625" style="3" customWidth="1"/>
    <col min="7682" max="7682" width="4.875" style="3" customWidth="1"/>
    <col min="7683" max="7683" width="9.5" style="3" customWidth="1"/>
    <col min="7684" max="7684" width="28.75" style="3" customWidth="1"/>
    <col min="7685" max="7685" width="9.875" style="3" customWidth="1"/>
    <col min="7686" max="7686" width="16" style="3" customWidth="1"/>
    <col min="7687" max="7688" width="17.375" style="3" customWidth="1"/>
    <col min="7689" max="7689" width="16.375" style="3" customWidth="1"/>
    <col min="7690" max="7690" width="9" style="3"/>
    <col min="7691" max="7692" width="11.625" style="3" customWidth="1"/>
    <col min="7693" max="7936" width="9" style="3"/>
    <col min="7937" max="7937" width="4.625" style="3" customWidth="1"/>
    <col min="7938" max="7938" width="4.875" style="3" customWidth="1"/>
    <col min="7939" max="7939" width="9.5" style="3" customWidth="1"/>
    <col min="7940" max="7940" width="28.75" style="3" customWidth="1"/>
    <col min="7941" max="7941" width="9.875" style="3" customWidth="1"/>
    <col min="7942" max="7942" width="16" style="3" customWidth="1"/>
    <col min="7943" max="7944" width="17.375" style="3" customWidth="1"/>
    <col min="7945" max="7945" width="16.375" style="3" customWidth="1"/>
    <col min="7946" max="7946" width="9" style="3"/>
    <col min="7947" max="7948" width="11.625" style="3" customWidth="1"/>
    <col min="7949" max="8192" width="9" style="3"/>
    <col min="8193" max="8193" width="4.625" style="3" customWidth="1"/>
    <col min="8194" max="8194" width="4.875" style="3" customWidth="1"/>
    <col min="8195" max="8195" width="9.5" style="3" customWidth="1"/>
    <col min="8196" max="8196" width="28.75" style="3" customWidth="1"/>
    <col min="8197" max="8197" width="9.875" style="3" customWidth="1"/>
    <col min="8198" max="8198" width="16" style="3" customWidth="1"/>
    <col min="8199" max="8200" width="17.375" style="3" customWidth="1"/>
    <col min="8201" max="8201" width="16.375" style="3" customWidth="1"/>
    <col min="8202" max="8202" width="9" style="3"/>
    <col min="8203" max="8204" width="11.625" style="3" customWidth="1"/>
    <col min="8205" max="8448" width="9" style="3"/>
    <col min="8449" max="8449" width="4.625" style="3" customWidth="1"/>
    <col min="8450" max="8450" width="4.875" style="3" customWidth="1"/>
    <col min="8451" max="8451" width="9.5" style="3" customWidth="1"/>
    <col min="8452" max="8452" width="28.75" style="3" customWidth="1"/>
    <col min="8453" max="8453" width="9.875" style="3" customWidth="1"/>
    <col min="8454" max="8454" width="16" style="3" customWidth="1"/>
    <col min="8455" max="8456" width="17.375" style="3" customWidth="1"/>
    <col min="8457" max="8457" width="16.375" style="3" customWidth="1"/>
    <col min="8458" max="8458" width="9" style="3"/>
    <col min="8459" max="8460" width="11.625" style="3" customWidth="1"/>
    <col min="8461" max="8704" width="9" style="3"/>
    <col min="8705" max="8705" width="4.625" style="3" customWidth="1"/>
    <col min="8706" max="8706" width="4.875" style="3" customWidth="1"/>
    <col min="8707" max="8707" width="9.5" style="3" customWidth="1"/>
    <col min="8708" max="8708" width="28.75" style="3" customWidth="1"/>
    <col min="8709" max="8709" width="9.875" style="3" customWidth="1"/>
    <col min="8710" max="8710" width="16" style="3" customWidth="1"/>
    <col min="8711" max="8712" width="17.375" style="3" customWidth="1"/>
    <col min="8713" max="8713" width="16.375" style="3" customWidth="1"/>
    <col min="8714" max="8714" width="9" style="3"/>
    <col min="8715" max="8716" width="11.625" style="3" customWidth="1"/>
    <col min="8717" max="8960" width="9" style="3"/>
    <col min="8961" max="8961" width="4.625" style="3" customWidth="1"/>
    <col min="8962" max="8962" width="4.875" style="3" customWidth="1"/>
    <col min="8963" max="8963" width="9.5" style="3" customWidth="1"/>
    <col min="8964" max="8964" width="28.75" style="3" customWidth="1"/>
    <col min="8965" max="8965" width="9.875" style="3" customWidth="1"/>
    <col min="8966" max="8966" width="16" style="3" customWidth="1"/>
    <col min="8967" max="8968" width="17.375" style="3" customWidth="1"/>
    <col min="8969" max="8969" width="16.375" style="3" customWidth="1"/>
    <col min="8970" max="8970" width="9" style="3"/>
    <col min="8971" max="8972" width="11.625" style="3" customWidth="1"/>
    <col min="8973" max="9216" width="9" style="3"/>
    <col min="9217" max="9217" width="4.625" style="3" customWidth="1"/>
    <col min="9218" max="9218" width="4.875" style="3" customWidth="1"/>
    <col min="9219" max="9219" width="9.5" style="3" customWidth="1"/>
    <col min="9220" max="9220" width="28.75" style="3" customWidth="1"/>
    <col min="9221" max="9221" width="9.875" style="3" customWidth="1"/>
    <col min="9222" max="9222" width="16" style="3" customWidth="1"/>
    <col min="9223" max="9224" width="17.375" style="3" customWidth="1"/>
    <col min="9225" max="9225" width="16.375" style="3" customWidth="1"/>
    <col min="9226" max="9226" width="9" style="3"/>
    <col min="9227" max="9228" width="11.625" style="3" customWidth="1"/>
    <col min="9229" max="9472" width="9" style="3"/>
    <col min="9473" max="9473" width="4.625" style="3" customWidth="1"/>
    <col min="9474" max="9474" width="4.875" style="3" customWidth="1"/>
    <col min="9475" max="9475" width="9.5" style="3" customWidth="1"/>
    <col min="9476" max="9476" width="28.75" style="3" customWidth="1"/>
    <col min="9477" max="9477" width="9.875" style="3" customWidth="1"/>
    <col min="9478" max="9478" width="16" style="3" customWidth="1"/>
    <col min="9479" max="9480" width="17.375" style="3" customWidth="1"/>
    <col min="9481" max="9481" width="16.375" style="3" customWidth="1"/>
    <col min="9482" max="9482" width="9" style="3"/>
    <col min="9483" max="9484" width="11.625" style="3" customWidth="1"/>
    <col min="9485" max="9728" width="9" style="3"/>
    <col min="9729" max="9729" width="4.625" style="3" customWidth="1"/>
    <col min="9730" max="9730" width="4.875" style="3" customWidth="1"/>
    <col min="9731" max="9731" width="9.5" style="3" customWidth="1"/>
    <col min="9732" max="9732" width="28.75" style="3" customWidth="1"/>
    <col min="9733" max="9733" width="9.875" style="3" customWidth="1"/>
    <col min="9734" max="9734" width="16" style="3" customWidth="1"/>
    <col min="9735" max="9736" width="17.375" style="3" customWidth="1"/>
    <col min="9737" max="9737" width="16.375" style="3" customWidth="1"/>
    <col min="9738" max="9738" width="9" style="3"/>
    <col min="9739" max="9740" width="11.625" style="3" customWidth="1"/>
    <col min="9741" max="9984" width="9" style="3"/>
    <col min="9985" max="9985" width="4.625" style="3" customWidth="1"/>
    <col min="9986" max="9986" width="4.875" style="3" customWidth="1"/>
    <col min="9987" max="9987" width="9.5" style="3" customWidth="1"/>
    <col min="9988" max="9988" width="28.75" style="3" customWidth="1"/>
    <col min="9989" max="9989" width="9.875" style="3" customWidth="1"/>
    <col min="9990" max="9990" width="16" style="3" customWidth="1"/>
    <col min="9991" max="9992" width="17.375" style="3" customWidth="1"/>
    <col min="9993" max="9993" width="16.375" style="3" customWidth="1"/>
    <col min="9994" max="9994" width="9" style="3"/>
    <col min="9995" max="9996" width="11.625" style="3" customWidth="1"/>
    <col min="9997" max="10240" width="9" style="3"/>
    <col min="10241" max="10241" width="4.625" style="3" customWidth="1"/>
    <col min="10242" max="10242" width="4.875" style="3" customWidth="1"/>
    <col min="10243" max="10243" width="9.5" style="3" customWidth="1"/>
    <col min="10244" max="10244" width="28.75" style="3" customWidth="1"/>
    <col min="10245" max="10245" width="9.875" style="3" customWidth="1"/>
    <col min="10246" max="10246" width="16" style="3" customWidth="1"/>
    <col min="10247" max="10248" width="17.375" style="3" customWidth="1"/>
    <col min="10249" max="10249" width="16.375" style="3" customWidth="1"/>
    <col min="10250" max="10250" width="9" style="3"/>
    <col min="10251" max="10252" width="11.625" style="3" customWidth="1"/>
    <col min="10253" max="10496" width="9" style="3"/>
    <col min="10497" max="10497" width="4.625" style="3" customWidth="1"/>
    <col min="10498" max="10498" width="4.875" style="3" customWidth="1"/>
    <col min="10499" max="10499" width="9.5" style="3" customWidth="1"/>
    <col min="10500" max="10500" width="28.75" style="3" customWidth="1"/>
    <col min="10501" max="10501" width="9.875" style="3" customWidth="1"/>
    <col min="10502" max="10502" width="16" style="3" customWidth="1"/>
    <col min="10503" max="10504" width="17.375" style="3" customWidth="1"/>
    <col min="10505" max="10505" width="16.375" style="3" customWidth="1"/>
    <col min="10506" max="10506" width="9" style="3"/>
    <col min="10507" max="10508" width="11.625" style="3" customWidth="1"/>
    <col min="10509" max="10752" width="9" style="3"/>
    <col min="10753" max="10753" width="4.625" style="3" customWidth="1"/>
    <col min="10754" max="10754" width="4.875" style="3" customWidth="1"/>
    <col min="10755" max="10755" width="9.5" style="3" customWidth="1"/>
    <col min="10756" max="10756" width="28.75" style="3" customWidth="1"/>
    <col min="10757" max="10757" width="9.875" style="3" customWidth="1"/>
    <col min="10758" max="10758" width="16" style="3" customWidth="1"/>
    <col min="10759" max="10760" width="17.375" style="3" customWidth="1"/>
    <col min="10761" max="10761" width="16.375" style="3" customWidth="1"/>
    <col min="10762" max="10762" width="9" style="3"/>
    <col min="10763" max="10764" width="11.625" style="3" customWidth="1"/>
    <col min="10765" max="11008" width="9" style="3"/>
    <col min="11009" max="11009" width="4.625" style="3" customWidth="1"/>
    <col min="11010" max="11010" width="4.875" style="3" customWidth="1"/>
    <col min="11011" max="11011" width="9.5" style="3" customWidth="1"/>
    <col min="11012" max="11012" width="28.75" style="3" customWidth="1"/>
    <col min="11013" max="11013" width="9.875" style="3" customWidth="1"/>
    <col min="11014" max="11014" width="16" style="3" customWidth="1"/>
    <col min="11015" max="11016" width="17.375" style="3" customWidth="1"/>
    <col min="11017" max="11017" width="16.375" style="3" customWidth="1"/>
    <col min="11018" max="11018" width="9" style="3"/>
    <col min="11019" max="11020" width="11.625" style="3" customWidth="1"/>
    <col min="11021" max="11264" width="9" style="3"/>
    <col min="11265" max="11265" width="4.625" style="3" customWidth="1"/>
    <col min="11266" max="11266" width="4.875" style="3" customWidth="1"/>
    <col min="11267" max="11267" width="9.5" style="3" customWidth="1"/>
    <col min="11268" max="11268" width="28.75" style="3" customWidth="1"/>
    <col min="11269" max="11269" width="9.875" style="3" customWidth="1"/>
    <col min="11270" max="11270" width="16" style="3" customWidth="1"/>
    <col min="11271" max="11272" width="17.375" style="3" customWidth="1"/>
    <col min="11273" max="11273" width="16.375" style="3" customWidth="1"/>
    <col min="11274" max="11274" width="9" style="3"/>
    <col min="11275" max="11276" width="11.625" style="3" customWidth="1"/>
    <col min="11277" max="11520" width="9" style="3"/>
    <col min="11521" max="11521" width="4.625" style="3" customWidth="1"/>
    <col min="11522" max="11522" width="4.875" style="3" customWidth="1"/>
    <col min="11523" max="11523" width="9.5" style="3" customWidth="1"/>
    <col min="11524" max="11524" width="28.75" style="3" customWidth="1"/>
    <col min="11525" max="11525" width="9.875" style="3" customWidth="1"/>
    <col min="11526" max="11526" width="16" style="3" customWidth="1"/>
    <col min="11527" max="11528" width="17.375" style="3" customWidth="1"/>
    <col min="11529" max="11529" width="16.375" style="3" customWidth="1"/>
    <col min="11530" max="11530" width="9" style="3"/>
    <col min="11531" max="11532" width="11.625" style="3" customWidth="1"/>
    <col min="11533" max="11776" width="9" style="3"/>
    <col min="11777" max="11777" width="4.625" style="3" customWidth="1"/>
    <col min="11778" max="11778" width="4.875" style="3" customWidth="1"/>
    <col min="11779" max="11779" width="9.5" style="3" customWidth="1"/>
    <col min="11780" max="11780" width="28.75" style="3" customWidth="1"/>
    <col min="11781" max="11781" width="9.875" style="3" customWidth="1"/>
    <col min="11782" max="11782" width="16" style="3" customWidth="1"/>
    <col min="11783" max="11784" width="17.375" style="3" customWidth="1"/>
    <col min="11785" max="11785" width="16.375" style="3" customWidth="1"/>
    <col min="11786" max="11786" width="9" style="3"/>
    <col min="11787" max="11788" width="11.625" style="3" customWidth="1"/>
    <col min="11789" max="12032" width="9" style="3"/>
    <col min="12033" max="12033" width="4.625" style="3" customWidth="1"/>
    <col min="12034" max="12034" width="4.875" style="3" customWidth="1"/>
    <col min="12035" max="12035" width="9.5" style="3" customWidth="1"/>
    <col min="12036" max="12036" width="28.75" style="3" customWidth="1"/>
    <col min="12037" max="12037" width="9.875" style="3" customWidth="1"/>
    <col min="12038" max="12038" width="16" style="3" customWidth="1"/>
    <col min="12039" max="12040" width="17.375" style="3" customWidth="1"/>
    <col min="12041" max="12041" width="16.375" style="3" customWidth="1"/>
    <col min="12042" max="12042" width="9" style="3"/>
    <col min="12043" max="12044" width="11.625" style="3" customWidth="1"/>
    <col min="12045" max="12288" width="9" style="3"/>
    <col min="12289" max="12289" width="4.625" style="3" customWidth="1"/>
    <col min="12290" max="12290" width="4.875" style="3" customWidth="1"/>
    <col min="12291" max="12291" width="9.5" style="3" customWidth="1"/>
    <col min="12292" max="12292" width="28.75" style="3" customWidth="1"/>
    <col min="12293" max="12293" width="9.875" style="3" customWidth="1"/>
    <col min="12294" max="12294" width="16" style="3" customWidth="1"/>
    <col min="12295" max="12296" width="17.375" style="3" customWidth="1"/>
    <col min="12297" max="12297" width="16.375" style="3" customWidth="1"/>
    <col min="12298" max="12298" width="9" style="3"/>
    <col min="12299" max="12300" width="11.625" style="3" customWidth="1"/>
    <col min="12301" max="12544" width="9" style="3"/>
    <col min="12545" max="12545" width="4.625" style="3" customWidth="1"/>
    <col min="12546" max="12546" width="4.875" style="3" customWidth="1"/>
    <col min="12547" max="12547" width="9.5" style="3" customWidth="1"/>
    <col min="12548" max="12548" width="28.75" style="3" customWidth="1"/>
    <col min="12549" max="12549" width="9.875" style="3" customWidth="1"/>
    <col min="12550" max="12550" width="16" style="3" customWidth="1"/>
    <col min="12551" max="12552" width="17.375" style="3" customWidth="1"/>
    <col min="12553" max="12553" width="16.375" style="3" customWidth="1"/>
    <col min="12554" max="12554" width="9" style="3"/>
    <col min="12555" max="12556" width="11.625" style="3" customWidth="1"/>
    <col min="12557" max="12800" width="9" style="3"/>
    <col min="12801" max="12801" width="4.625" style="3" customWidth="1"/>
    <col min="12802" max="12802" width="4.875" style="3" customWidth="1"/>
    <col min="12803" max="12803" width="9.5" style="3" customWidth="1"/>
    <col min="12804" max="12804" width="28.75" style="3" customWidth="1"/>
    <col min="12805" max="12805" width="9.875" style="3" customWidth="1"/>
    <col min="12806" max="12806" width="16" style="3" customWidth="1"/>
    <col min="12807" max="12808" width="17.375" style="3" customWidth="1"/>
    <col min="12809" max="12809" width="16.375" style="3" customWidth="1"/>
    <col min="12810" max="12810" width="9" style="3"/>
    <col min="12811" max="12812" width="11.625" style="3" customWidth="1"/>
    <col min="12813" max="13056" width="9" style="3"/>
    <col min="13057" max="13057" width="4.625" style="3" customWidth="1"/>
    <col min="13058" max="13058" width="4.875" style="3" customWidth="1"/>
    <col min="13059" max="13059" width="9.5" style="3" customWidth="1"/>
    <col min="13060" max="13060" width="28.75" style="3" customWidth="1"/>
    <col min="13061" max="13061" width="9.875" style="3" customWidth="1"/>
    <col min="13062" max="13062" width="16" style="3" customWidth="1"/>
    <col min="13063" max="13064" width="17.375" style="3" customWidth="1"/>
    <col min="13065" max="13065" width="16.375" style="3" customWidth="1"/>
    <col min="13066" max="13066" width="9" style="3"/>
    <col min="13067" max="13068" width="11.625" style="3" customWidth="1"/>
    <col min="13069" max="13312" width="9" style="3"/>
    <col min="13313" max="13313" width="4.625" style="3" customWidth="1"/>
    <col min="13314" max="13314" width="4.875" style="3" customWidth="1"/>
    <col min="13315" max="13315" width="9.5" style="3" customWidth="1"/>
    <col min="13316" max="13316" width="28.75" style="3" customWidth="1"/>
    <col min="13317" max="13317" width="9.875" style="3" customWidth="1"/>
    <col min="13318" max="13318" width="16" style="3" customWidth="1"/>
    <col min="13319" max="13320" width="17.375" style="3" customWidth="1"/>
    <col min="13321" max="13321" width="16.375" style="3" customWidth="1"/>
    <col min="13322" max="13322" width="9" style="3"/>
    <col min="13323" max="13324" width="11.625" style="3" customWidth="1"/>
    <col min="13325" max="13568" width="9" style="3"/>
    <col min="13569" max="13569" width="4.625" style="3" customWidth="1"/>
    <col min="13570" max="13570" width="4.875" style="3" customWidth="1"/>
    <col min="13571" max="13571" width="9.5" style="3" customWidth="1"/>
    <col min="13572" max="13572" width="28.75" style="3" customWidth="1"/>
    <col min="13573" max="13573" width="9.875" style="3" customWidth="1"/>
    <col min="13574" max="13574" width="16" style="3" customWidth="1"/>
    <col min="13575" max="13576" width="17.375" style="3" customWidth="1"/>
    <col min="13577" max="13577" width="16.375" style="3" customWidth="1"/>
    <col min="13578" max="13578" width="9" style="3"/>
    <col min="13579" max="13580" width="11.625" style="3" customWidth="1"/>
    <col min="13581" max="13824" width="9" style="3"/>
    <col min="13825" max="13825" width="4.625" style="3" customWidth="1"/>
    <col min="13826" max="13826" width="4.875" style="3" customWidth="1"/>
    <col min="13827" max="13827" width="9.5" style="3" customWidth="1"/>
    <col min="13828" max="13828" width="28.75" style="3" customWidth="1"/>
    <col min="13829" max="13829" width="9.875" style="3" customWidth="1"/>
    <col min="13830" max="13830" width="16" style="3" customWidth="1"/>
    <col min="13831" max="13832" width="17.375" style="3" customWidth="1"/>
    <col min="13833" max="13833" width="16.375" style="3" customWidth="1"/>
    <col min="13834" max="13834" width="9" style="3"/>
    <col min="13835" max="13836" width="11.625" style="3" customWidth="1"/>
    <col min="13837" max="14080" width="9" style="3"/>
    <col min="14081" max="14081" width="4.625" style="3" customWidth="1"/>
    <col min="14082" max="14082" width="4.875" style="3" customWidth="1"/>
    <col min="14083" max="14083" width="9.5" style="3" customWidth="1"/>
    <col min="14084" max="14084" width="28.75" style="3" customWidth="1"/>
    <col min="14085" max="14085" width="9.875" style="3" customWidth="1"/>
    <col min="14086" max="14086" width="16" style="3" customWidth="1"/>
    <col min="14087" max="14088" width="17.375" style="3" customWidth="1"/>
    <col min="14089" max="14089" width="16.375" style="3" customWidth="1"/>
    <col min="14090" max="14090" width="9" style="3"/>
    <col min="14091" max="14092" width="11.625" style="3" customWidth="1"/>
    <col min="14093" max="14336" width="9" style="3"/>
    <col min="14337" max="14337" width="4.625" style="3" customWidth="1"/>
    <col min="14338" max="14338" width="4.875" style="3" customWidth="1"/>
    <col min="14339" max="14339" width="9.5" style="3" customWidth="1"/>
    <col min="14340" max="14340" width="28.75" style="3" customWidth="1"/>
    <col min="14341" max="14341" width="9.875" style="3" customWidth="1"/>
    <col min="14342" max="14342" width="16" style="3" customWidth="1"/>
    <col min="14343" max="14344" width="17.375" style="3" customWidth="1"/>
    <col min="14345" max="14345" width="16.375" style="3" customWidth="1"/>
    <col min="14346" max="14346" width="9" style="3"/>
    <col min="14347" max="14348" width="11.625" style="3" customWidth="1"/>
    <col min="14349" max="14592" width="9" style="3"/>
    <col min="14593" max="14593" width="4.625" style="3" customWidth="1"/>
    <col min="14594" max="14594" width="4.875" style="3" customWidth="1"/>
    <col min="14595" max="14595" width="9.5" style="3" customWidth="1"/>
    <col min="14596" max="14596" width="28.75" style="3" customWidth="1"/>
    <col min="14597" max="14597" width="9.875" style="3" customWidth="1"/>
    <col min="14598" max="14598" width="16" style="3" customWidth="1"/>
    <col min="14599" max="14600" width="17.375" style="3" customWidth="1"/>
    <col min="14601" max="14601" width="16.375" style="3" customWidth="1"/>
    <col min="14602" max="14602" width="9" style="3"/>
    <col min="14603" max="14604" width="11.625" style="3" customWidth="1"/>
    <col min="14605" max="14848" width="9" style="3"/>
    <col min="14849" max="14849" width="4.625" style="3" customWidth="1"/>
    <col min="14850" max="14850" width="4.875" style="3" customWidth="1"/>
    <col min="14851" max="14851" width="9.5" style="3" customWidth="1"/>
    <col min="14852" max="14852" width="28.75" style="3" customWidth="1"/>
    <col min="14853" max="14853" width="9.875" style="3" customWidth="1"/>
    <col min="14854" max="14854" width="16" style="3" customWidth="1"/>
    <col min="14855" max="14856" width="17.375" style="3" customWidth="1"/>
    <col min="14857" max="14857" width="16.375" style="3" customWidth="1"/>
    <col min="14858" max="14858" width="9" style="3"/>
    <col min="14859" max="14860" width="11.625" style="3" customWidth="1"/>
    <col min="14861" max="15104" width="9" style="3"/>
    <col min="15105" max="15105" width="4.625" style="3" customWidth="1"/>
    <col min="15106" max="15106" width="4.875" style="3" customWidth="1"/>
    <col min="15107" max="15107" width="9.5" style="3" customWidth="1"/>
    <col min="15108" max="15108" width="28.75" style="3" customWidth="1"/>
    <col min="15109" max="15109" width="9.875" style="3" customWidth="1"/>
    <col min="15110" max="15110" width="16" style="3" customWidth="1"/>
    <col min="15111" max="15112" width="17.375" style="3" customWidth="1"/>
    <col min="15113" max="15113" width="16.375" style="3" customWidth="1"/>
    <col min="15114" max="15114" width="9" style="3"/>
    <col min="15115" max="15116" width="11.625" style="3" customWidth="1"/>
    <col min="15117" max="15360" width="9" style="3"/>
    <col min="15361" max="15361" width="4.625" style="3" customWidth="1"/>
    <col min="15362" max="15362" width="4.875" style="3" customWidth="1"/>
    <col min="15363" max="15363" width="9.5" style="3" customWidth="1"/>
    <col min="15364" max="15364" width="28.75" style="3" customWidth="1"/>
    <col min="15365" max="15365" width="9.875" style="3" customWidth="1"/>
    <col min="15366" max="15366" width="16" style="3" customWidth="1"/>
    <col min="15367" max="15368" width="17.375" style="3" customWidth="1"/>
    <col min="15369" max="15369" width="16.375" style="3" customWidth="1"/>
    <col min="15370" max="15370" width="9" style="3"/>
    <col min="15371" max="15372" width="11.625" style="3" customWidth="1"/>
    <col min="15373" max="15616" width="9" style="3"/>
    <col min="15617" max="15617" width="4.625" style="3" customWidth="1"/>
    <col min="15618" max="15618" width="4.875" style="3" customWidth="1"/>
    <col min="15619" max="15619" width="9.5" style="3" customWidth="1"/>
    <col min="15620" max="15620" width="28.75" style="3" customWidth="1"/>
    <col min="15621" max="15621" width="9.875" style="3" customWidth="1"/>
    <col min="15622" max="15622" width="16" style="3" customWidth="1"/>
    <col min="15623" max="15624" width="17.375" style="3" customWidth="1"/>
    <col min="15625" max="15625" width="16.375" style="3" customWidth="1"/>
    <col min="15626" max="15626" width="9" style="3"/>
    <col min="15627" max="15628" width="11.625" style="3" customWidth="1"/>
    <col min="15629" max="15872" width="9" style="3"/>
    <col min="15873" max="15873" width="4.625" style="3" customWidth="1"/>
    <col min="15874" max="15874" width="4.875" style="3" customWidth="1"/>
    <col min="15875" max="15875" width="9.5" style="3" customWidth="1"/>
    <col min="15876" max="15876" width="28.75" style="3" customWidth="1"/>
    <col min="15877" max="15877" width="9.875" style="3" customWidth="1"/>
    <col min="15878" max="15878" width="16" style="3" customWidth="1"/>
    <col min="15879" max="15880" width="17.375" style="3" customWidth="1"/>
    <col min="15881" max="15881" width="16.375" style="3" customWidth="1"/>
    <col min="15882" max="15882" width="9" style="3"/>
    <col min="15883" max="15884" width="11.625" style="3" customWidth="1"/>
    <col min="15885" max="16128" width="9" style="3"/>
    <col min="16129" max="16129" width="4.625" style="3" customWidth="1"/>
    <col min="16130" max="16130" width="4.875" style="3" customWidth="1"/>
    <col min="16131" max="16131" width="9.5" style="3" customWidth="1"/>
    <col min="16132" max="16132" width="28.75" style="3" customWidth="1"/>
    <col min="16133" max="16133" width="9.875" style="3" customWidth="1"/>
    <col min="16134" max="16134" width="16" style="3" customWidth="1"/>
    <col min="16135" max="16136" width="17.375" style="3" customWidth="1"/>
    <col min="16137" max="16137" width="16.375" style="3" customWidth="1"/>
    <col min="16138" max="16138" width="9" style="3"/>
    <col min="16139" max="16140" width="11.625" style="3" customWidth="1"/>
    <col min="16141" max="16384" width="9" style="3"/>
  </cols>
  <sheetData>
    <row r="1" spans="1:16" ht="36" customHeight="1" thickBo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6" s="10" customFormat="1" ht="24.95" customHeight="1" x14ac:dyDescent="0.15">
      <c r="A2" s="4" t="s">
        <v>1</v>
      </c>
      <c r="B2" s="5"/>
      <c r="C2" s="5"/>
      <c r="D2" s="5"/>
      <c r="E2" s="6" t="s">
        <v>2</v>
      </c>
      <c r="F2" s="7" t="s">
        <v>3</v>
      </c>
      <c r="G2" s="7" t="s">
        <v>4</v>
      </c>
      <c r="H2" s="8" t="s">
        <v>5</v>
      </c>
      <c r="I2" s="9" t="s">
        <v>6</v>
      </c>
    </row>
    <row r="3" spans="1:16" ht="24.95" customHeight="1" x14ac:dyDescent="0.15">
      <c r="A3" s="11" t="s">
        <v>7</v>
      </c>
      <c r="B3" s="12"/>
      <c r="C3" s="12"/>
      <c r="D3" s="12"/>
      <c r="E3" s="13" t="s">
        <v>8</v>
      </c>
      <c r="F3" s="14">
        <f>[1]土地价款一览表!C4*10000</f>
        <v>51240.92</v>
      </c>
      <c r="G3" s="14">
        <f>[1]土地价款一览表!C5*10000</f>
        <v>37225.81</v>
      </c>
      <c r="H3" s="15">
        <f>[1]土地价款一览表!C8*10000</f>
        <v>36246.47</v>
      </c>
      <c r="I3" s="16">
        <f>SUM(F3:H3)</f>
        <v>124713.2</v>
      </c>
      <c r="K3" s="3">
        <f>I3/(2000/3)</f>
        <v>187.06980000000001</v>
      </c>
      <c r="L3" s="3">
        <v>6793.4299999999994</v>
      </c>
      <c r="N3" s="3">
        <v>25000</v>
      </c>
      <c r="O3" s="3">
        <f>N3/F3</f>
        <v>0.48789131811060382</v>
      </c>
      <c r="P3" s="3">
        <f>O3*G3</f>
        <v>18162.149508634895</v>
      </c>
    </row>
    <row r="4" spans="1:16" ht="24.95" customHeight="1" x14ac:dyDescent="0.15">
      <c r="A4" s="11" t="s">
        <v>9</v>
      </c>
      <c r="B4" s="12"/>
      <c r="C4" s="12"/>
      <c r="D4" s="12"/>
      <c r="E4" s="17" t="s">
        <v>10</v>
      </c>
      <c r="F4" s="18">
        <f>F3*0.2</f>
        <v>10248.184000000001</v>
      </c>
      <c r="G4" s="17">
        <v>6793.4299999999994</v>
      </c>
      <c r="H4" s="19">
        <v>14498</v>
      </c>
      <c r="I4" s="16">
        <f>SUM(F4:H4)</f>
        <v>31539.614000000001</v>
      </c>
      <c r="K4" s="20"/>
      <c r="L4" s="20">
        <f>G3-L3</f>
        <v>30432.379999999997</v>
      </c>
      <c r="N4" s="3">
        <v>17000</v>
      </c>
      <c r="O4" s="3">
        <f>N4/F3</f>
        <v>0.33176609631521059</v>
      </c>
      <c r="P4" s="3">
        <f>O4*G3</f>
        <v>12350.261665871729</v>
      </c>
    </row>
    <row r="5" spans="1:16" ht="24.95" customHeight="1" x14ac:dyDescent="0.15">
      <c r="A5" s="11" t="s">
        <v>11</v>
      </c>
      <c r="B5" s="12"/>
      <c r="C5" s="12"/>
      <c r="D5" s="12"/>
      <c r="E5" s="17" t="s">
        <v>12</v>
      </c>
      <c r="F5" s="21">
        <v>0.2</v>
      </c>
      <c r="G5" s="21">
        <v>0.2</v>
      </c>
      <c r="H5" s="22">
        <v>0.4</v>
      </c>
      <c r="I5" s="23"/>
    </row>
    <row r="6" spans="1:16" ht="24.95" customHeight="1" x14ac:dyDescent="0.15">
      <c r="A6" s="11" t="s">
        <v>13</v>
      </c>
      <c r="B6" s="12"/>
      <c r="C6" s="12"/>
      <c r="D6" s="12"/>
      <c r="E6" s="17" t="s">
        <v>12</v>
      </c>
      <c r="F6" s="21">
        <v>0.35</v>
      </c>
      <c r="G6" s="21">
        <v>0.35</v>
      </c>
      <c r="H6" s="24">
        <v>0.3</v>
      </c>
      <c r="I6" s="23"/>
    </row>
    <row r="7" spans="1:16" ht="24.95" customHeight="1" x14ac:dyDescent="0.15">
      <c r="A7" s="11" t="s">
        <v>14</v>
      </c>
      <c r="B7" s="12"/>
      <c r="C7" s="12"/>
      <c r="D7" s="12"/>
      <c r="E7" s="17"/>
      <c r="F7" s="25">
        <v>2.2000000000000002</v>
      </c>
      <c r="G7" s="25">
        <v>2.2000000000000002</v>
      </c>
      <c r="H7" s="26">
        <v>1.33</v>
      </c>
      <c r="I7" s="23"/>
    </row>
    <row r="8" spans="1:16" ht="24.95" customHeight="1" x14ac:dyDescent="0.15">
      <c r="A8" s="11" t="s">
        <v>15</v>
      </c>
      <c r="B8" s="12"/>
      <c r="C8" s="12"/>
      <c r="D8" s="12"/>
      <c r="E8" s="13" t="s">
        <v>8</v>
      </c>
      <c r="F8" s="18">
        <f>F9+F10</f>
        <v>132540</v>
      </c>
      <c r="G8" s="18">
        <f>G9+G10</f>
        <v>120902</v>
      </c>
      <c r="H8" s="18">
        <f>H9+H10</f>
        <v>59808</v>
      </c>
      <c r="I8" s="16">
        <f>SUM(F8:H8)</f>
        <v>313250</v>
      </c>
    </row>
    <row r="9" spans="1:16" ht="24.95" customHeight="1" x14ac:dyDescent="0.15">
      <c r="A9" s="11" t="s">
        <v>16</v>
      </c>
      <c r="B9" s="12" t="s">
        <v>17</v>
      </c>
      <c r="C9" s="12"/>
      <c r="D9" s="12"/>
      <c r="E9" s="13" t="s">
        <v>8</v>
      </c>
      <c r="F9" s="18">
        <v>101482</v>
      </c>
      <c r="G9" s="18">
        <v>93126</v>
      </c>
      <c r="H9" s="27">
        <v>47896</v>
      </c>
      <c r="I9" s="16">
        <f>SUM(F9:H9)</f>
        <v>242504</v>
      </c>
    </row>
    <row r="10" spans="1:16" ht="24.95" customHeight="1" x14ac:dyDescent="0.15">
      <c r="A10" s="11"/>
      <c r="B10" s="12" t="s">
        <v>18</v>
      </c>
      <c r="C10" s="12"/>
      <c r="D10" s="12"/>
      <c r="E10" s="13" t="s">
        <v>8</v>
      </c>
      <c r="F10" s="18">
        <v>31058</v>
      </c>
      <c r="G10" s="18">
        <v>27776</v>
      </c>
      <c r="H10" s="27">
        <v>11912</v>
      </c>
      <c r="I10" s="16">
        <f>SUM(F10:H10)</f>
        <v>70746</v>
      </c>
    </row>
    <row r="11" spans="1:16" ht="24.95" customHeight="1" x14ac:dyDescent="0.15">
      <c r="A11" s="28" t="s">
        <v>17</v>
      </c>
      <c r="B11" s="29" t="s">
        <v>19</v>
      </c>
      <c r="C11" s="30" t="s">
        <v>20</v>
      </c>
      <c r="D11" s="30"/>
      <c r="E11" s="31" t="s">
        <v>8</v>
      </c>
      <c r="F11" s="32"/>
      <c r="G11" s="18"/>
      <c r="H11" s="27"/>
      <c r="I11" s="23"/>
    </row>
    <row r="12" spans="1:16" ht="24.95" customHeight="1" x14ac:dyDescent="0.15">
      <c r="A12" s="28"/>
      <c r="B12" s="29"/>
      <c r="C12" s="30" t="s">
        <v>21</v>
      </c>
      <c r="D12" s="30"/>
      <c r="E12" s="31" t="s">
        <v>8</v>
      </c>
      <c r="F12" s="32"/>
      <c r="G12" s="18"/>
      <c r="H12" s="27"/>
      <c r="I12" s="23"/>
    </row>
    <row r="13" spans="1:16" ht="24.95" customHeight="1" x14ac:dyDescent="0.15">
      <c r="A13" s="28"/>
      <c r="B13" s="29"/>
      <c r="C13" s="30" t="s">
        <v>22</v>
      </c>
      <c r="D13" s="30"/>
      <c r="E13" s="31" t="s">
        <v>8</v>
      </c>
      <c r="F13" s="33">
        <v>99908</v>
      </c>
      <c r="G13" s="34">
        <v>90908.49</v>
      </c>
      <c r="H13" s="35"/>
      <c r="I13" s="23"/>
    </row>
    <row r="14" spans="1:16" ht="24.95" customHeight="1" x14ac:dyDescent="0.15">
      <c r="A14" s="28"/>
      <c r="B14" s="29"/>
      <c r="C14" s="30" t="s">
        <v>23</v>
      </c>
      <c r="D14" s="30"/>
      <c r="E14" s="31" t="s">
        <v>8</v>
      </c>
      <c r="F14" s="33"/>
      <c r="G14" s="34"/>
      <c r="H14" s="35"/>
      <c r="I14" s="23"/>
    </row>
    <row r="15" spans="1:16" ht="24.95" customHeight="1" x14ac:dyDescent="0.15">
      <c r="A15" s="28"/>
      <c r="B15" s="29"/>
      <c r="C15" s="30" t="s">
        <v>24</v>
      </c>
      <c r="D15" s="30"/>
      <c r="E15" s="31" t="s">
        <v>8</v>
      </c>
      <c r="F15" s="36"/>
      <c r="G15" s="36"/>
      <c r="H15" s="35"/>
      <c r="I15" s="23"/>
    </row>
    <row r="16" spans="1:16" ht="24.95" customHeight="1" x14ac:dyDescent="0.15">
      <c r="A16" s="28"/>
      <c r="B16" s="29"/>
      <c r="C16" s="30" t="s">
        <v>25</v>
      </c>
      <c r="D16" s="30"/>
      <c r="E16" s="31" t="s">
        <v>8</v>
      </c>
      <c r="F16" s="33">
        <v>1294.7</v>
      </c>
      <c r="G16" s="34">
        <v>1402.1599999999999</v>
      </c>
      <c r="H16" s="35"/>
      <c r="I16" s="23"/>
    </row>
    <row r="17" spans="1:9" ht="24.95" customHeight="1" x14ac:dyDescent="0.15">
      <c r="A17" s="28"/>
      <c r="B17" s="29"/>
      <c r="C17" s="30" t="s">
        <v>26</v>
      </c>
      <c r="D17" s="30"/>
      <c r="E17" s="31" t="s">
        <v>8</v>
      </c>
      <c r="F17" s="37"/>
      <c r="G17" s="38"/>
      <c r="H17" s="35"/>
      <c r="I17" s="23"/>
    </row>
    <row r="18" spans="1:9" ht="24.95" customHeight="1" x14ac:dyDescent="0.15">
      <c r="A18" s="28"/>
      <c r="B18" s="29"/>
      <c r="C18" s="30" t="s">
        <v>27</v>
      </c>
      <c r="D18" s="30"/>
      <c r="E18" s="31" t="s">
        <v>8</v>
      </c>
      <c r="F18" s="37"/>
      <c r="G18" s="38"/>
      <c r="H18" s="35"/>
      <c r="I18" s="23"/>
    </row>
    <row r="19" spans="1:9" ht="24.95" customHeight="1" x14ac:dyDescent="0.15">
      <c r="A19" s="28"/>
      <c r="B19" s="29"/>
      <c r="C19" s="30" t="s">
        <v>28</v>
      </c>
      <c r="D19" s="30"/>
      <c r="E19" s="31" t="s">
        <v>8</v>
      </c>
      <c r="F19" s="37"/>
      <c r="G19" s="38"/>
      <c r="H19" s="35"/>
      <c r="I19" s="23"/>
    </row>
    <row r="20" spans="1:9" ht="24.95" customHeight="1" x14ac:dyDescent="0.15">
      <c r="A20" s="28"/>
      <c r="B20" s="29"/>
      <c r="C20" s="30" t="s">
        <v>29</v>
      </c>
      <c r="D20" s="30"/>
      <c r="E20" s="31" t="s">
        <v>8</v>
      </c>
      <c r="F20" s="37"/>
      <c r="G20" s="38"/>
      <c r="H20" s="35"/>
      <c r="I20" s="23"/>
    </row>
    <row r="21" spans="1:9" ht="24.95" customHeight="1" x14ac:dyDescent="0.15">
      <c r="A21" s="28"/>
      <c r="B21" s="29"/>
      <c r="C21" s="30" t="s">
        <v>30</v>
      </c>
      <c r="D21" s="30"/>
      <c r="E21" s="31" t="s">
        <v>8</v>
      </c>
      <c r="F21" s="37"/>
      <c r="G21" s="38"/>
      <c r="H21" s="35"/>
      <c r="I21" s="23"/>
    </row>
    <row r="22" spans="1:9" ht="24.95" customHeight="1" x14ac:dyDescent="0.15">
      <c r="A22" s="28"/>
      <c r="B22" s="29"/>
      <c r="C22" s="30" t="s">
        <v>6</v>
      </c>
      <c r="D22" s="30"/>
      <c r="E22" s="31" t="s">
        <v>8</v>
      </c>
      <c r="F22" s="33">
        <f>SUM(F11:F21)</f>
        <v>101202.7</v>
      </c>
      <c r="G22" s="33">
        <f>SUM(G11:G21)</f>
        <v>92310.650000000009</v>
      </c>
      <c r="H22" s="27"/>
      <c r="I22" s="23"/>
    </row>
    <row r="23" spans="1:9" ht="24.95" customHeight="1" x14ac:dyDescent="0.15">
      <c r="A23" s="28"/>
      <c r="B23" s="29" t="s">
        <v>31</v>
      </c>
      <c r="C23" s="30" t="s">
        <v>32</v>
      </c>
      <c r="D23" s="30"/>
      <c r="E23" s="31" t="s">
        <v>8</v>
      </c>
      <c r="F23" s="33">
        <v>134</v>
      </c>
      <c r="G23" s="34">
        <v>387.82</v>
      </c>
      <c r="H23" s="27"/>
      <c r="I23" s="23"/>
    </row>
    <row r="24" spans="1:9" ht="24.95" customHeight="1" x14ac:dyDescent="0.15">
      <c r="A24" s="28"/>
      <c r="B24" s="29"/>
      <c r="C24" s="30" t="s">
        <v>33</v>
      </c>
      <c r="D24" s="30"/>
      <c r="E24" s="31" t="s">
        <v>8</v>
      </c>
      <c r="F24" s="33">
        <v>56</v>
      </c>
      <c r="G24" s="34" t="s">
        <v>34</v>
      </c>
      <c r="H24" s="35"/>
      <c r="I24" s="23"/>
    </row>
    <row r="25" spans="1:9" ht="24.95" customHeight="1" x14ac:dyDescent="0.15">
      <c r="A25" s="28"/>
      <c r="B25" s="29"/>
      <c r="C25" s="30" t="s">
        <v>35</v>
      </c>
      <c r="D25" s="30"/>
      <c r="E25" s="31" t="s">
        <v>8</v>
      </c>
      <c r="F25" s="33">
        <v>34</v>
      </c>
      <c r="G25" s="34">
        <v>17.399999999999999</v>
      </c>
      <c r="H25" s="27"/>
      <c r="I25" s="23"/>
    </row>
    <row r="26" spans="1:9" ht="24.95" customHeight="1" x14ac:dyDescent="0.15">
      <c r="A26" s="28"/>
      <c r="B26" s="29"/>
      <c r="C26" s="30" t="s">
        <v>36</v>
      </c>
      <c r="D26" s="30"/>
      <c r="E26" s="31" t="s">
        <v>8</v>
      </c>
      <c r="F26" s="33"/>
      <c r="G26" s="34">
        <v>180.13</v>
      </c>
      <c r="H26" s="27"/>
      <c r="I26" s="23"/>
    </row>
    <row r="27" spans="1:9" ht="24.95" customHeight="1" x14ac:dyDescent="0.15">
      <c r="A27" s="28"/>
      <c r="B27" s="29"/>
      <c r="C27" s="30" t="s">
        <v>37</v>
      </c>
      <c r="D27" s="30"/>
      <c r="E27" s="31" t="s">
        <v>8</v>
      </c>
      <c r="F27" s="33">
        <v>55.3</v>
      </c>
      <c r="G27" s="34"/>
      <c r="H27" s="27"/>
      <c r="I27" s="23"/>
    </row>
    <row r="28" spans="1:9" ht="24.95" customHeight="1" x14ac:dyDescent="0.15">
      <c r="A28" s="28"/>
      <c r="B28" s="29"/>
      <c r="C28" s="30" t="s">
        <v>38</v>
      </c>
      <c r="D28" s="30"/>
      <c r="E28" s="31" t="s">
        <v>8</v>
      </c>
      <c r="F28" s="33"/>
      <c r="G28" s="34">
        <v>230</v>
      </c>
      <c r="H28" s="27"/>
      <c r="I28" s="23"/>
    </row>
    <row r="29" spans="1:9" ht="24.95" customHeight="1" x14ac:dyDescent="0.15">
      <c r="A29" s="28"/>
      <c r="B29" s="29"/>
      <c r="C29" s="30" t="s">
        <v>39</v>
      </c>
      <c r="D29" s="30"/>
      <c r="E29" s="31" t="s">
        <v>8</v>
      </c>
      <c r="F29" s="32"/>
      <c r="G29" s="18"/>
      <c r="H29" s="27"/>
      <c r="I29" s="23"/>
    </row>
    <row r="30" spans="1:9" ht="24.95" customHeight="1" x14ac:dyDescent="0.15">
      <c r="A30" s="39" t="s">
        <v>18</v>
      </c>
      <c r="B30" s="40"/>
      <c r="C30" s="40"/>
      <c r="D30" s="40"/>
      <c r="E30" s="31" t="s">
        <v>8</v>
      </c>
      <c r="F30" s="32">
        <f>F10</f>
        <v>31058</v>
      </c>
      <c r="G30" s="32">
        <f>G10</f>
        <v>27776</v>
      </c>
      <c r="H30" s="41"/>
      <c r="I30" s="41"/>
    </row>
    <row r="31" spans="1:9" ht="24.95" customHeight="1" x14ac:dyDescent="0.15">
      <c r="A31" s="42" t="s">
        <v>16</v>
      </c>
      <c r="B31" s="42" t="s">
        <v>40</v>
      </c>
      <c r="C31" s="42"/>
      <c r="D31" s="42"/>
      <c r="E31" s="31" t="s">
        <v>8</v>
      </c>
      <c r="F31" s="43">
        <f>F30</f>
        <v>31058</v>
      </c>
      <c r="G31" s="18"/>
      <c r="H31" s="27"/>
      <c r="I31" s="23"/>
    </row>
    <row r="32" spans="1:9" ht="24.95" customHeight="1" x14ac:dyDescent="0.15">
      <c r="A32" s="42"/>
      <c r="B32" s="42" t="s">
        <v>41</v>
      </c>
      <c r="C32" s="42"/>
      <c r="D32" s="42"/>
      <c r="E32" s="31" t="s">
        <v>8</v>
      </c>
      <c r="F32" s="43"/>
      <c r="G32" s="18"/>
      <c r="H32" s="27"/>
      <c r="I32" s="23"/>
    </row>
    <row r="33" spans="1:9" ht="24.95" customHeight="1" x14ac:dyDescent="0.15">
      <c r="A33" s="11" t="s">
        <v>42</v>
      </c>
      <c r="B33" s="12"/>
      <c r="C33" s="12"/>
      <c r="D33" s="12"/>
      <c r="E33" s="17" t="s">
        <v>43</v>
      </c>
      <c r="F33" s="44">
        <v>702</v>
      </c>
      <c r="G33" s="44">
        <v>642</v>
      </c>
      <c r="H33" s="45"/>
      <c r="I33" s="23"/>
    </row>
    <row r="34" spans="1:9" ht="24.95" customHeight="1" x14ac:dyDescent="0.15">
      <c r="A34" s="11" t="s">
        <v>44</v>
      </c>
      <c r="B34" s="12" t="s">
        <v>45</v>
      </c>
      <c r="C34" s="12"/>
      <c r="D34" s="12"/>
      <c r="E34" s="17" t="s">
        <v>46</v>
      </c>
      <c r="F34" s="18"/>
      <c r="G34" s="18"/>
      <c r="H34" s="27"/>
      <c r="I34" s="46" t="s">
        <v>47</v>
      </c>
    </row>
    <row r="35" spans="1:9" ht="24.95" customHeight="1" x14ac:dyDescent="0.15">
      <c r="A35" s="11"/>
      <c r="B35" s="12" t="s">
        <v>48</v>
      </c>
      <c r="C35" s="12"/>
      <c r="D35" s="12"/>
      <c r="E35" s="17" t="s">
        <v>46</v>
      </c>
      <c r="F35" s="18"/>
      <c r="G35" s="17"/>
      <c r="H35" s="19"/>
      <c r="I35" s="47"/>
    </row>
    <row r="36" spans="1:9" ht="24.95" customHeight="1" x14ac:dyDescent="0.15">
      <c r="A36" s="11"/>
      <c r="B36" s="12" t="s">
        <v>49</v>
      </c>
      <c r="C36" s="12"/>
      <c r="D36" s="12"/>
      <c r="E36" s="17" t="s">
        <v>46</v>
      </c>
      <c r="F36" s="18"/>
      <c r="G36" s="17"/>
      <c r="H36" s="19"/>
      <c r="I36" s="48"/>
    </row>
    <row r="37" spans="1:9" ht="24.95" customHeight="1" x14ac:dyDescent="0.15">
      <c r="A37" s="11" t="s">
        <v>50</v>
      </c>
      <c r="B37" s="12"/>
      <c r="C37" s="12"/>
      <c r="D37" s="12"/>
      <c r="E37" s="17" t="s">
        <v>10</v>
      </c>
      <c r="F37" s="18">
        <f>F3*35%</f>
        <v>17934.321999999996</v>
      </c>
      <c r="G37" s="18">
        <f>G3*35%</f>
        <v>13029.033499999998</v>
      </c>
      <c r="H37" s="27">
        <v>10874</v>
      </c>
      <c r="I37" s="23">
        <f>SUM(F37:H37)</f>
        <v>41837.355499999991</v>
      </c>
    </row>
    <row r="38" spans="1:9" ht="24.95" customHeight="1" x14ac:dyDescent="0.15">
      <c r="A38" s="11" t="s">
        <v>44</v>
      </c>
      <c r="B38" s="12" t="s">
        <v>51</v>
      </c>
      <c r="C38" s="12"/>
      <c r="D38" s="12"/>
      <c r="E38" s="17" t="s">
        <v>10</v>
      </c>
      <c r="F38" s="18"/>
      <c r="G38" s="18"/>
      <c r="H38" s="27"/>
      <c r="I38" s="23"/>
    </row>
    <row r="39" spans="1:9" ht="24.95" customHeight="1" x14ac:dyDescent="0.15">
      <c r="A39" s="11"/>
      <c r="B39" s="12" t="s">
        <v>52</v>
      </c>
      <c r="C39" s="12"/>
      <c r="D39" s="12"/>
      <c r="E39" s="17" t="s">
        <v>10</v>
      </c>
      <c r="F39" s="18"/>
      <c r="G39" s="18"/>
      <c r="H39" s="27"/>
      <c r="I39" s="23"/>
    </row>
    <row r="40" spans="1:9" ht="24.95" customHeight="1" x14ac:dyDescent="0.15">
      <c r="A40" s="11"/>
      <c r="B40" s="12" t="s">
        <v>53</v>
      </c>
      <c r="C40" s="12"/>
      <c r="D40" s="12"/>
      <c r="E40" s="17" t="s">
        <v>10</v>
      </c>
      <c r="F40" s="18"/>
      <c r="G40" s="18"/>
      <c r="H40" s="27"/>
      <c r="I40" s="23"/>
    </row>
    <row r="41" spans="1:9" ht="24.95" customHeight="1" x14ac:dyDescent="0.15">
      <c r="A41" s="11" t="s">
        <v>54</v>
      </c>
      <c r="B41" s="12"/>
      <c r="C41" s="12"/>
      <c r="D41" s="12"/>
      <c r="E41" s="49" t="s">
        <v>55</v>
      </c>
      <c r="F41" s="17">
        <v>1015</v>
      </c>
      <c r="G41" s="17">
        <v>931</v>
      </c>
      <c r="H41" s="19">
        <v>384</v>
      </c>
      <c r="I41" s="23"/>
    </row>
    <row r="42" spans="1:9" ht="24.95" customHeight="1" x14ac:dyDescent="0.15">
      <c r="A42" s="50" t="s">
        <v>44</v>
      </c>
      <c r="B42" s="51" t="s">
        <v>56</v>
      </c>
      <c r="C42" s="51"/>
      <c r="D42" s="51"/>
      <c r="E42" s="52" t="s">
        <v>57</v>
      </c>
      <c r="F42" s="53">
        <f>F41</f>
        <v>1015</v>
      </c>
      <c r="G42" s="53">
        <f>G41</f>
        <v>931</v>
      </c>
      <c r="H42" s="54"/>
      <c r="I42" s="23"/>
    </row>
    <row r="43" spans="1:9" ht="24.95" customHeight="1" x14ac:dyDescent="0.15">
      <c r="A43" s="50"/>
      <c r="B43" s="51" t="s">
        <v>58</v>
      </c>
      <c r="C43" s="51"/>
      <c r="D43" s="51"/>
      <c r="E43" s="52" t="s">
        <v>57</v>
      </c>
      <c r="F43" s="55"/>
      <c r="G43" s="55" t="s">
        <v>59</v>
      </c>
      <c r="H43" s="54"/>
      <c r="I43" s="23"/>
    </row>
    <row r="44" spans="1:9" ht="24.95" customHeight="1" x14ac:dyDescent="0.15">
      <c r="A44" s="11" t="s">
        <v>60</v>
      </c>
      <c r="B44" s="12"/>
      <c r="C44" s="12"/>
      <c r="D44" s="12"/>
      <c r="E44" s="52" t="s">
        <v>55</v>
      </c>
      <c r="F44" s="17"/>
      <c r="G44" s="17" t="s">
        <v>61</v>
      </c>
      <c r="H44" s="19"/>
      <c r="I44" s="56"/>
    </row>
    <row r="45" spans="1:9" ht="24.95" customHeight="1" x14ac:dyDescent="0.15">
      <c r="A45" s="50" t="s">
        <v>44</v>
      </c>
      <c r="B45" s="51" t="s">
        <v>56</v>
      </c>
      <c r="C45" s="51"/>
      <c r="D45" s="51"/>
      <c r="E45" s="52" t="s">
        <v>57</v>
      </c>
      <c r="F45" s="55"/>
      <c r="G45" s="55"/>
      <c r="H45" s="54"/>
      <c r="I45" s="56"/>
    </row>
    <row r="46" spans="1:9" ht="24.95" customHeight="1" thickBot="1" x14ac:dyDescent="0.2">
      <c r="A46" s="57"/>
      <c r="B46" s="58" t="s">
        <v>58</v>
      </c>
      <c r="C46" s="58"/>
      <c r="D46" s="58"/>
      <c r="E46" s="59" t="s">
        <v>57</v>
      </c>
      <c r="F46" s="60"/>
      <c r="G46" s="60"/>
      <c r="H46" s="61"/>
      <c r="I46" s="62"/>
    </row>
  </sheetData>
  <mergeCells count="56">
    <mergeCell ref="A44:D44"/>
    <mergeCell ref="A45:A46"/>
    <mergeCell ref="B45:D45"/>
    <mergeCell ref="B46:D46"/>
    <mergeCell ref="A38:A40"/>
    <mergeCell ref="B38:D38"/>
    <mergeCell ref="B39:D39"/>
    <mergeCell ref="B40:D40"/>
    <mergeCell ref="A41:D41"/>
    <mergeCell ref="A42:A43"/>
    <mergeCell ref="B42:D42"/>
    <mergeCell ref="B43:D43"/>
    <mergeCell ref="A34:A36"/>
    <mergeCell ref="B34:D34"/>
    <mergeCell ref="I34:I36"/>
    <mergeCell ref="B35:D35"/>
    <mergeCell ref="B36:D36"/>
    <mergeCell ref="A37:D37"/>
    <mergeCell ref="C29:D29"/>
    <mergeCell ref="A30:D30"/>
    <mergeCell ref="A31:A32"/>
    <mergeCell ref="B31:D31"/>
    <mergeCell ref="B32:D32"/>
    <mergeCell ref="A33:D33"/>
    <mergeCell ref="C20:D20"/>
    <mergeCell ref="C21:D21"/>
    <mergeCell ref="C22:D22"/>
    <mergeCell ref="B23:B29"/>
    <mergeCell ref="C23:D23"/>
    <mergeCell ref="C24:D24"/>
    <mergeCell ref="C25:D25"/>
    <mergeCell ref="C26:D26"/>
    <mergeCell ref="C27:D27"/>
    <mergeCell ref="C28:D28"/>
    <mergeCell ref="C14:D14"/>
    <mergeCell ref="C15:D15"/>
    <mergeCell ref="C16:D16"/>
    <mergeCell ref="C17:D17"/>
    <mergeCell ref="C18:D18"/>
    <mergeCell ref="C19:D19"/>
    <mergeCell ref="A7:D7"/>
    <mergeCell ref="A8:D8"/>
    <mergeCell ref="A9:A10"/>
    <mergeCell ref="B9:D9"/>
    <mergeCell ref="B10:D10"/>
    <mergeCell ref="A11:A29"/>
    <mergeCell ref="B11:B22"/>
    <mergeCell ref="C11:D11"/>
    <mergeCell ref="C12:D12"/>
    <mergeCell ref="C13:D13"/>
    <mergeCell ref="A1:I1"/>
    <mergeCell ref="A2:D2"/>
    <mergeCell ref="A3:D3"/>
    <mergeCell ref="A4:D4"/>
    <mergeCell ref="A5:D5"/>
    <mergeCell ref="A6:D6"/>
  </mergeCells>
  <phoneticPr fontId="3" type="noConversion"/>
  <pageMargins left="0.7" right="0.7" top="0.75" bottom="0.75" header="0.3" footer="0.3"/>
  <pageSetup paperSize="8" scale="73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项目规划指标</vt:lpstr>
      <vt:lpstr>项目规划指标!Print_Area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文军 兰</dc:creator>
  <cp:lastModifiedBy>文军 兰</cp:lastModifiedBy>
  <dcterms:created xsi:type="dcterms:W3CDTF">2026-04-02T10:16:38Z</dcterms:created>
  <dcterms:modified xsi:type="dcterms:W3CDTF">2026-04-02T10:17:01Z</dcterms:modified>
</cp:coreProperties>
</file>